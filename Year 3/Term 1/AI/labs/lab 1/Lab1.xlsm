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ЭтаКнига1"/>
  <mc:AlternateContent xmlns:mc="http://schemas.openxmlformats.org/markup-compatibility/2006">
    <mc:Choice Requires="x15">
      <x15ac:absPath xmlns:x15ac="http://schemas.microsoft.com/office/spreadsheetml/2010/11/ac" url="C:\+brain\Github\krok\Year 3\Term 1\AI\labs\lab 1\"/>
    </mc:Choice>
  </mc:AlternateContent>
  <bookViews>
    <workbookView xWindow="0" yWindow="0" windowWidth="28800" windowHeight="12480"/>
  </bookViews>
  <sheets>
    <sheet name="Лабораторна робота №3" sheetId="1" r:id="rId1"/>
    <sheet name="Модель" sheetId="2" state="hidden" r:id="rId2"/>
    <sheet name="Лист3" sheetId="3" state="hidden" r:id="rId3"/>
  </sheet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uri="GoogleSheetsCustomDataVersion1">
      <go:sheetsCustomData xmlns:go="http://customooxmlschemas.google.com/" r:id="rId8" roundtripDataSignature="AMtx7mi4IZ+KBHUIz3E7BR9LBWzbvW9iKg=="/>
    </ext>
  </extLst>
</workbook>
</file>

<file path=xl/calcChain.xml><?xml version="1.0" encoding="utf-8"?>
<calcChain xmlns="http://schemas.openxmlformats.org/spreadsheetml/2006/main">
  <c r="F47" i="1" l="1"/>
  <c r="F48" i="1"/>
  <c r="F49" i="1"/>
  <c r="F46" i="1"/>
  <c r="L121" i="1"/>
  <c r="L122" i="1"/>
  <c r="L123" i="1"/>
  <c r="L120" i="1"/>
  <c r="K121" i="1"/>
  <c r="K122" i="1"/>
  <c r="K123" i="1"/>
  <c r="K120" i="1"/>
  <c r="J121" i="1"/>
  <c r="J122" i="1"/>
  <c r="J123" i="1"/>
  <c r="J120" i="1"/>
  <c r="E94" i="1"/>
  <c r="E93" i="1"/>
  <c r="F72" i="1" l="1"/>
  <c r="F73" i="1"/>
  <c r="F74" i="1"/>
  <c r="F71" i="1"/>
  <c r="C9" i="3" l="1"/>
  <c r="C11" i="3" s="1"/>
  <c r="C12" i="3" s="1"/>
  <c r="C13" i="3" s="1"/>
  <c r="C14" i="3" s="1"/>
  <c r="I54" i="2"/>
  <c r="O54" i="2" s="1"/>
  <c r="S54" i="2" s="1"/>
  <c r="H54" i="2"/>
  <c r="O53" i="2"/>
  <c r="S53" i="2" s="1"/>
  <c r="M53" i="2"/>
  <c r="Q53" i="2" s="1"/>
  <c r="I53" i="2"/>
  <c r="K53" i="2" s="1"/>
  <c r="H53" i="2"/>
  <c r="H52" i="2"/>
  <c r="I52" i="2" s="1"/>
  <c r="H51" i="2"/>
  <c r="I51" i="2" s="1"/>
  <c r="I50" i="2"/>
  <c r="O50" i="2" s="1"/>
  <c r="S50" i="2" s="1"/>
  <c r="H50" i="2"/>
  <c r="O49" i="2"/>
  <c r="S49" i="2" s="1"/>
  <c r="M49" i="2"/>
  <c r="Q49" i="2" s="1"/>
  <c r="I49" i="2"/>
  <c r="K49" i="2" s="1"/>
  <c r="H49" i="2"/>
  <c r="H48" i="2"/>
  <c r="I48" i="2" s="1"/>
  <c r="H47" i="2"/>
  <c r="I47" i="2" s="1"/>
  <c r="I46" i="2"/>
  <c r="O46" i="2" s="1"/>
  <c r="S46" i="2" s="1"/>
  <c r="H46" i="2"/>
  <c r="O45" i="2"/>
  <c r="S45" i="2" s="1"/>
  <c r="M45" i="2"/>
  <c r="Q45" i="2" s="1"/>
  <c r="I45" i="2"/>
  <c r="K45" i="2" s="1"/>
  <c r="H45" i="2"/>
  <c r="H44" i="2"/>
  <c r="I44" i="2" s="1"/>
  <c r="H43" i="2"/>
  <c r="I43" i="2" s="1"/>
  <c r="J74" i="1"/>
  <c r="J73" i="1"/>
  <c r="J72" i="1"/>
  <c r="J71" i="1"/>
  <c r="J49" i="1"/>
  <c r="J48" i="1"/>
  <c r="J47" i="1"/>
  <c r="J46" i="1"/>
  <c r="N44" i="2" l="1"/>
  <c r="R44" i="2" s="1"/>
  <c r="M44" i="2"/>
  <c r="Q44" i="2" s="1"/>
  <c r="K44" i="2"/>
  <c r="O44" i="2"/>
  <c r="S44" i="2" s="1"/>
  <c r="N48" i="2"/>
  <c r="R48" i="2" s="1"/>
  <c r="M48" i="2"/>
  <c r="Q48" i="2" s="1"/>
  <c r="K48" i="2"/>
  <c r="O48" i="2"/>
  <c r="S48" i="2" s="1"/>
  <c r="N52" i="2"/>
  <c r="R52" i="2" s="1"/>
  <c r="M52" i="2"/>
  <c r="Q52" i="2" s="1"/>
  <c r="K52" i="2"/>
  <c r="O52" i="2"/>
  <c r="S52" i="2" s="1"/>
  <c r="O43" i="2"/>
  <c r="S43" i="2" s="1"/>
  <c r="N43" i="2"/>
  <c r="R43" i="2" s="1"/>
  <c r="M43" i="2"/>
  <c r="Q43" i="2" s="1"/>
  <c r="K43" i="2"/>
  <c r="O47" i="2"/>
  <c r="S47" i="2" s="1"/>
  <c r="N47" i="2"/>
  <c r="R47" i="2" s="1"/>
  <c r="M47" i="2"/>
  <c r="Q47" i="2" s="1"/>
  <c r="K47" i="2"/>
  <c r="O51" i="2"/>
  <c r="S51" i="2" s="1"/>
  <c r="N51" i="2"/>
  <c r="R51" i="2" s="1"/>
  <c r="M51" i="2"/>
  <c r="Q51" i="2" s="1"/>
  <c r="K51" i="2"/>
  <c r="K46" i="2"/>
  <c r="K50" i="2"/>
  <c r="K54" i="2"/>
  <c r="N45" i="2"/>
  <c r="R45" i="2" s="1"/>
  <c r="N49" i="2"/>
  <c r="R49" i="2" s="1"/>
  <c r="N53" i="2"/>
  <c r="R53" i="2" s="1"/>
  <c r="M46" i="2"/>
  <c r="Q46" i="2" s="1"/>
  <c r="M50" i="2"/>
  <c r="Q50" i="2" s="1"/>
  <c r="M54" i="2"/>
  <c r="Q54" i="2" s="1"/>
  <c r="N46" i="2"/>
  <c r="R46" i="2" s="1"/>
  <c r="N50" i="2"/>
  <c r="R50" i="2" s="1"/>
  <c r="N54" i="2"/>
  <c r="R54" i="2" s="1"/>
  <c r="Q55" i="2" l="1"/>
  <c r="S55" i="2"/>
  <c r="R55" i="2"/>
  <c r="L53" i="2"/>
  <c r="L49" i="2"/>
  <c r="L48" i="2"/>
  <c r="L44" i="2"/>
  <c r="L52" i="2"/>
  <c r="L47" i="2"/>
  <c r="L43" i="2"/>
  <c r="L51" i="2"/>
  <c r="L54" i="2"/>
  <c r="L50" i="2"/>
  <c r="L46" i="2"/>
  <c r="L45" i="2"/>
  <c r="C67" i="2" l="1"/>
  <c r="C59" i="2"/>
  <c r="C62" i="2"/>
  <c r="C65" i="2"/>
  <c r="C68" i="2"/>
  <c r="C60" i="2"/>
  <c r="C57" i="2"/>
  <c r="C63" i="2"/>
  <c r="C66" i="2"/>
  <c r="C58" i="2"/>
  <c r="C61" i="2"/>
  <c r="C64" i="2"/>
  <c r="D62" i="2"/>
  <c r="D65" i="2"/>
  <c r="D68" i="2"/>
  <c r="D60" i="2"/>
  <c r="D57" i="2"/>
  <c r="D63" i="2"/>
  <c r="D66" i="2"/>
  <c r="D58" i="2"/>
  <c r="D61" i="2"/>
  <c r="D64" i="2"/>
  <c r="D67" i="2"/>
  <c r="D59" i="2"/>
  <c r="B64" i="2"/>
  <c r="B67" i="2"/>
  <c r="B59" i="2"/>
  <c r="B62" i="2"/>
  <c r="H62" i="2" s="1"/>
  <c r="I62" i="2" s="1"/>
  <c r="B65" i="2"/>
  <c r="H65" i="2" s="1"/>
  <c r="I65" i="2" s="1"/>
  <c r="B68" i="2"/>
  <c r="H68" i="2" s="1"/>
  <c r="I68" i="2" s="1"/>
  <c r="B60" i="2"/>
  <c r="H60" i="2" s="1"/>
  <c r="I60" i="2" s="1"/>
  <c r="B57" i="2"/>
  <c r="B63" i="2"/>
  <c r="B66" i="2"/>
  <c r="H66" i="2" s="1"/>
  <c r="I66" i="2" s="1"/>
  <c r="B58" i="2"/>
  <c r="H58" i="2" s="1"/>
  <c r="I58" i="2" s="1"/>
  <c r="B61" i="2"/>
  <c r="H61" i="2" s="1"/>
  <c r="I61" i="2" s="1"/>
  <c r="O60" i="2" l="1"/>
  <c r="S60" i="2" s="1"/>
  <c r="N60" i="2"/>
  <c r="R60" i="2" s="1"/>
  <c r="M60" i="2"/>
  <c r="Q60" i="2" s="1"/>
  <c r="K60" i="2"/>
  <c r="O65" i="2"/>
  <c r="S65" i="2" s="1"/>
  <c r="N65" i="2"/>
  <c r="R65" i="2" s="1"/>
  <c r="M65" i="2"/>
  <c r="Q65" i="2" s="1"/>
  <c r="K65" i="2"/>
  <c r="H59" i="2"/>
  <c r="I59" i="2" s="1"/>
  <c r="O68" i="2"/>
  <c r="S68" i="2" s="1"/>
  <c r="N68" i="2"/>
  <c r="R68" i="2" s="1"/>
  <c r="M68" i="2"/>
  <c r="Q68" i="2" s="1"/>
  <c r="K68" i="2"/>
  <c r="K58" i="2"/>
  <c r="O58" i="2"/>
  <c r="S58" i="2" s="1"/>
  <c r="N58" i="2"/>
  <c r="R58" i="2" s="1"/>
  <c r="M58" i="2"/>
  <c r="Q58" i="2" s="1"/>
  <c r="H67" i="2"/>
  <c r="I67" i="2" s="1"/>
  <c r="O62" i="2"/>
  <c r="S62" i="2" s="1"/>
  <c r="N62" i="2"/>
  <c r="R62" i="2" s="1"/>
  <c r="M62" i="2"/>
  <c r="Q62" i="2" s="1"/>
  <c r="K62" i="2"/>
  <c r="H63" i="2"/>
  <c r="I63" i="2" s="1"/>
  <c r="M61" i="2"/>
  <c r="Q61" i="2" s="1"/>
  <c r="K61" i="2"/>
  <c r="O61" i="2"/>
  <c r="S61" i="2" s="1"/>
  <c r="N61" i="2"/>
  <c r="R61" i="2" s="1"/>
  <c r="K66" i="2"/>
  <c r="O66" i="2"/>
  <c r="S66" i="2" s="1"/>
  <c r="N66" i="2"/>
  <c r="R66" i="2" s="1"/>
  <c r="M66" i="2"/>
  <c r="Q66" i="2" s="1"/>
  <c r="H64" i="2"/>
  <c r="I64" i="2" s="1"/>
  <c r="H57" i="2"/>
  <c r="I57" i="2" s="1"/>
  <c r="N64" i="2" l="1"/>
  <c r="R64" i="2" s="1"/>
  <c r="M64" i="2"/>
  <c r="Q64" i="2" s="1"/>
  <c r="K64" i="2"/>
  <c r="O64" i="2"/>
  <c r="S64" i="2" s="1"/>
  <c r="K63" i="2"/>
  <c r="O63" i="2"/>
  <c r="S63" i="2" s="1"/>
  <c r="N63" i="2"/>
  <c r="R63" i="2" s="1"/>
  <c r="M63" i="2"/>
  <c r="Q63" i="2" s="1"/>
  <c r="O67" i="2"/>
  <c r="S67" i="2" s="1"/>
  <c r="N67" i="2"/>
  <c r="R67" i="2" s="1"/>
  <c r="M67" i="2"/>
  <c r="Q67" i="2" s="1"/>
  <c r="K67" i="2"/>
  <c r="O57" i="2"/>
  <c r="S57" i="2" s="1"/>
  <c r="N57" i="2"/>
  <c r="R57" i="2" s="1"/>
  <c r="R69" i="2" s="1"/>
  <c r="M57" i="2"/>
  <c r="Q57" i="2" s="1"/>
  <c r="K57" i="2"/>
  <c r="O59" i="2"/>
  <c r="S59" i="2" s="1"/>
  <c r="N59" i="2"/>
  <c r="R59" i="2" s="1"/>
  <c r="M59" i="2"/>
  <c r="Q59" i="2" s="1"/>
  <c r="K59" i="2"/>
  <c r="L66" i="2" l="1"/>
  <c r="L58" i="2"/>
  <c r="L61" i="2"/>
  <c r="L64" i="2"/>
  <c r="L67" i="2"/>
  <c r="L59" i="2"/>
  <c r="L62" i="2"/>
  <c r="L65" i="2"/>
  <c r="L68" i="2"/>
  <c r="L60" i="2"/>
  <c r="L57" i="2"/>
  <c r="U57" i="2" s="1"/>
  <c r="L63" i="2"/>
  <c r="Q69" i="2"/>
  <c r="S69" i="2"/>
</calcChain>
</file>

<file path=xl/sharedStrings.xml><?xml version="1.0" encoding="utf-8"?>
<sst xmlns="http://schemas.openxmlformats.org/spreadsheetml/2006/main" count="95" uniqueCount="63">
  <si>
    <t>x1</t>
  </si>
  <si>
    <t>x2</t>
  </si>
  <si>
    <t>x3</t>
  </si>
  <si>
    <t>Результат</t>
  </si>
  <si>
    <t>w1</t>
  </si>
  <si>
    <t>w2</t>
  </si>
  <si>
    <t>w3</t>
  </si>
  <si>
    <t>Si=</t>
  </si>
  <si>
    <t>Моделювання логічної функції I(AND)</t>
  </si>
  <si>
    <t>W1</t>
  </si>
  <si>
    <t>Yi=</t>
  </si>
  <si>
    <t>exp</t>
  </si>
  <si>
    <t>W2</t>
  </si>
  <si>
    <t>Y</t>
  </si>
  <si>
    <t>0&lt;1,5</t>
  </si>
  <si>
    <t>не активований</t>
  </si>
  <si>
    <t>1&lt;1,5</t>
  </si>
  <si>
    <t>2&gt;1,5</t>
  </si>
  <si>
    <t>активований</t>
  </si>
  <si>
    <t>Моделювання логічної функції АБО(OR)</t>
  </si>
  <si>
    <t>0&lt;0,5</t>
  </si>
  <si>
    <t>1&gt;0,5</t>
  </si>
  <si>
    <t>2&gt;0,5</t>
  </si>
  <si>
    <t>Моделювання логічної функції НІ(NOT)</t>
  </si>
  <si>
    <t>0&gt;-1,5</t>
  </si>
  <si>
    <t>-1,5&lt;-1</t>
  </si>
  <si>
    <t>не активовани</t>
  </si>
  <si>
    <t>Моделювання логічної ВИКЛЮЧНЕ АБО(XOR)</t>
  </si>
  <si>
    <t>w12</t>
  </si>
  <si>
    <t>w21</t>
  </si>
  <si>
    <t>w22</t>
  </si>
  <si>
    <t>w31</t>
  </si>
  <si>
    <t>w32</t>
  </si>
  <si>
    <t>y1</t>
  </si>
  <si>
    <t>y2</t>
  </si>
  <si>
    <t>x4</t>
  </si>
  <si>
    <t>x5</t>
  </si>
  <si>
    <t>x6</t>
  </si>
  <si>
    <t>x7</t>
  </si>
  <si>
    <t>x8</t>
  </si>
  <si>
    <t>x9</t>
  </si>
  <si>
    <t>x10</t>
  </si>
  <si>
    <t>x11</t>
  </si>
  <si>
    <t>x12</t>
  </si>
  <si>
    <t>x13</t>
  </si>
  <si>
    <t>x14</t>
  </si>
  <si>
    <t>x15</t>
  </si>
  <si>
    <t>0&lt;v&lt;1</t>
  </si>
  <si>
    <t>N</t>
  </si>
  <si>
    <t>S</t>
  </si>
  <si>
    <t>Yi</t>
  </si>
  <si>
    <t>y</t>
  </si>
  <si>
    <t>(Y-y)2</t>
  </si>
  <si>
    <t>E</t>
  </si>
  <si>
    <t>E1</t>
  </si>
  <si>
    <t>E2</t>
  </si>
  <si>
    <t>E3</t>
  </si>
  <si>
    <t>v</t>
  </si>
  <si>
    <t>dw1</t>
  </si>
  <si>
    <t>dw2</t>
  </si>
  <si>
    <t>dw3</t>
  </si>
  <si>
    <t>Середнє</t>
  </si>
  <si>
    <t>w11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</si>
</sst>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1"/>
      <color theme="1"/>
      <name val="Arial"/>
    </font>
    <font>
      <sz val="11"/>
      <color theme="1"/>
      <name val="Calibri"/>
    </font>
    <font>
      <sz val="11"/>
      <color theme="1"/>
      <name val="Calibri"/>
    </font>
    <font>
      <sz val="12"/>
      <color theme="1"/>
      <name val="Calibri"/>
    </font>
    <font>
      <b/>
      <sz val="18"/>
      <color theme="1"/>
      <name val="Calibri"/>
      <family val="2"/>
    </font>
    <font>
      <sz val="18"/>
      <color theme="1"/>
      <name val="Arial"/>
      <family val="2"/>
    </font>
    <font>
      <sz val="18"/>
      <name val="Arial"/>
      <family val="2"/>
    </font>
    <font>
      <b/>
      <sz val="18"/>
      <name val="Arial"/>
      <family val="2"/>
    </font>
    <font>
      <b/>
      <sz val="12"/>
      <color theme="1"/>
      <name val="Calibri"/>
      <family val="2"/>
    </font>
    <font>
      <sz val="12"/>
      <color theme="1"/>
      <name val="Calibri"/>
      <family val="2"/>
    </font>
    <font>
      <sz val="11"/>
      <color theme="1"/>
      <name val="Calibri"/>
      <family val="2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</borders>
  <cellStyleXfs count="1">
    <xf numFmtId="0" fontId="0" fillId="0" borderId="0"/>
  </cellStyleXfs>
  <cellXfs count="18">
    <xf numFmtId="0" fontId="0" fillId="0" borderId="0" xfId="0" applyFont="1" applyAlignment="1"/>
    <xf numFmtId="0" fontId="1" fillId="0" borderId="0" xfId="0" applyFont="1" applyAlignment="1">
      <alignment horizontal="center"/>
    </xf>
    <xf numFmtId="0" fontId="2" fillId="0" borderId="0" xfId="0" applyFont="1"/>
    <xf numFmtId="0" fontId="1" fillId="0" borderId="1" xfId="0" applyFont="1" applyBorder="1" applyAlignment="1">
      <alignment horizontal="center"/>
    </xf>
    <xf numFmtId="0" fontId="3" fillId="0" borderId="1" xfId="0" applyFont="1" applyBorder="1" applyAlignment="1">
      <alignment horizontal="center"/>
    </xf>
    <xf numFmtId="49" fontId="1" fillId="0" borderId="0" xfId="0" applyNumberFormat="1" applyFont="1"/>
    <xf numFmtId="0" fontId="1" fillId="0" borderId="0" xfId="0" applyFont="1"/>
    <xf numFmtId="0" fontId="1" fillId="0" borderId="1" xfId="0" applyFont="1" applyBorder="1"/>
    <xf numFmtId="0" fontId="1" fillId="0" borderId="0" xfId="0" applyFont="1" applyAlignment="1">
      <alignment horizontal="center"/>
    </xf>
    <xf numFmtId="0" fontId="0" fillId="0" borderId="0" xfId="0" applyFont="1" applyAlignment="1"/>
    <xf numFmtId="0" fontId="4" fillId="0" borderId="0" xfId="0" applyFont="1" applyAlignment="1"/>
    <xf numFmtId="0" fontId="5" fillId="0" borderId="0" xfId="0" applyFont="1" applyAlignment="1"/>
    <xf numFmtId="0" fontId="4" fillId="0" borderId="2" xfId="0" applyFont="1" applyBorder="1" applyAlignment="1"/>
    <xf numFmtId="0" fontId="6" fillId="0" borderId="2" xfId="0" applyFont="1" applyBorder="1" applyAlignment="1"/>
    <xf numFmtId="0" fontId="7" fillId="0" borderId="2" xfId="0" applyFont="1" applyBorder="1" applyAlignment="1"/>
    <xf numFmtId="0" fontId="8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10" fillId="0" borderId="1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customschemas.google.com/relationships/workbookmetadata" Target="metadata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11" Type="http://schemas.openxmlformats.org/officeDocument/2006/relationships/sharedStrings" Target="sharedStrings.xml"/><Relationship Id="rId10" Type="http://schemas.openxmlformats.org/officeDocument/2006/relationships/styles" Target="styles.xml"/><Relationship Id="rId9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autoTitleDeleted val="1"/>
    <c:plotArea>
      <c:layout/>
      <c:barChart>
        <c:barDir val="col"/>
        <c:grouping val="clustered"/>
        <c:varyColors val="1"/>
        <c:ser>
          <c:idx val="0"/>
          <c:order val="0"/>
          <c:spPr>
            <a:solidFill>
              <a:srgbClr val="4F81BD"/>
            </a:solidFill>
          </c:spPr>
          <c:invertIfNegative val="1"/>
          <c:val>
            <c:numRef>
              <c:f>Модель!$J$43:$J$54</c:f>
              <c:numCache>
                <c:formatCode>General</c:formatCode>
                <c:ptCount val="12"/>
                <c:pt idx="0">
                  <c:v>5.28</c:v>
                </c:pt>
                <c:pt idx="1">
                  <c:v>1.35</c:v>
                </c:pt>
                <c:pt idx="2">
                  <c:v>5.91</c:v>
                </c:pt>
                <c:pt idx="3">
                  <c:v>0.77</c:v>
                </c:pt>
                <c:pt idx="4">
                  <c:v>5.25</c:v>
                </c:pt>
                <c:pt idx="5">
                  <c:v>1.37</c:v>
                </c:pt>
                <c:pt idx="6">
                  <c:v>4.42</c:v>
                </c:pt>
                <c:pt idx="7">
                  <c:v>0.26</c:v>
                </c:pt>
                <c:pt idx="8">
                  <c:v>4.21</c:v>
                </c:pt>
                <c:pt idx="9">
                  <c:v>1.9</c:v>
                </c:pt>
                <c:pt idx="10">
                  <c:v>4.08</c:v>
                </c:pt>
                <c:pt idx="11">
                  <c:v>1.4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</c14:spPr>
              </c14:invertSolidFillFmt>
            </c:ext>
            <c:ext xmlns:c16="http://schemas.microsoft.com/office/drawing/2014/chart" uri="{C3380CC4-5D6E-409C-BE32-E72D297353CC}">
              <c16:uniqueId val="{00000000-3AE0-40CB-98B1-435DA377EE52}"/>
            </c:ext>
          </c:extLst>
        </c:ser>
        <c:ser>
          <c:idx val="1"/>
          <c:order val="1"/>
          <c:spPr>
            <a:solidFill>
              <a:srgbClr val="C0504D"/>
            </a:solidFill>
          </c:spPr>
          <c:invertIfNegative val="1"/>
          <c:val>
            <c:numRef>
              <c:f>Модель!$I$43:$I$54</c:f>
              <c:numCache>
                <c:formatCode>General</c:formatCode>
                <c:ptCount val="12"/>
                <c:pt idx="0">
                  <c:v>5</c:v>
                </c:pt>
                <c:pt idx="1">
                  <c:v>5</c:v>
                </c:pt>
                <c:pt idx="2">
                  <c:v>5</c:v>
                </c:pt>
                <c:pt idx="3">
                  <c:v>5</c:v>
                </c:pt>
                <c:pt idx="4">
                  <c:v>5</c:v>
                </c:pt>
                <c:pt idx="5">
                  <c:v>5</c:v>
                </c:pt>
                <c:pt idx="6">
                  <c:v>5</c:v>
                </c:pt>
                <c:pt idx="7">
                  <c:v>5</c:v>
                </c:pt>
                <c:pt idx="8">
                  <c:v>5</c:v>
                </c:pt>
                <c:pt idx="9">
                  <c:v>5</c:v>
                </c:pt>
                <c:pt idx="10">
                  <c:v>5</c:v>
                </c:pt>
                <c:pt idx="11">
                  <c:v>5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</c14:spPr>
              </c14:invertSolidFillFmt>
            </c:ext>
            <c:ext xmlns:c16="http://schemas.microsoft.com/office/drawing/2014/chart" uri="{C3380CC4-5D6E-409C-BE32-E72D297353CC}">
              <c16:uniqueId val="{00000001-3AE0-40CB-98B1-435DA377EE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71225646"/>
        <c:axId val="1992401503"/>
      </c:barChart>
      <c:catAx>
        <c:axId val="167122564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Calibri"/>
                  </a:defRPr>
                </a:pPr>
                <a:endParaRPr/>
              </a:p>
            </c:rich>
          </c:tx>
          <c:overlay val="0"/>
        </c:title>
        <c:majorTickMark val="cross"/>
        <c:minorTickMark val="cross"/>
        <c:tickLblPos val="nextTo"/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Calibri"/>
              </a:defRPr>
            </a:pPr>
            <a:endParaRPr lang="en-US"/>
          </a:p>
        </c:txPr>
        <c:crossAx val="1992401503"/>
        <c:crosses val="autoZero"/>
        <c:auto val="1"/>
        <c:lblAlgn val="ctr"/>
        <c:lblOffset val="100"/>
        <c:noMultiLvlLbl val="1"/>
      </c:catAx>
      <c:valAx>
        <c:axId val="1992401503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Calibri"/>
                  </a:defRPr>
                </a:pPr>
                <a:endParaRPr/>
              </a:p>
            </c:rich>
          </c:tx>
          <c:overlay val="0"/>
        </c:title>
        <c:numFmt formatCode="General" sourceLinked="1"/>
        <c:majorTickMark val="cross"/>
        <c:minorTickMark val="cross"/>
        <c:tickLblPos val="nextTo"/>
        <c:spPr>
          <a:ln w="47625">
            <a:noFill/>
          </a:ln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Calibri"/>
              </a:defRPr>
            </a:pPr>
            <a:endParaRPr lang="en-US"/>
          </a:p>
        </c:txPr>
        <c:crossAx val="1671225646"/>
        <c:crosses val="autoZero"/>
        <c:crossBetween val="between"/>
      </c:valAx>
      <c:spPr>
        <a:solidFill>
          <a:srgbClr val="FFFFFF"/>
        </a:solidFill>
      </c:spPr>
    </c:plotArea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4.png"/><Relationship Id="rId2" Type="http://schemas.openxmlformats.org/officeDocument/2006/relationships/image" Target="../media/image9.png"/><Relationship Id="rId1" Type="http://schemas.openxmlformats.org/officeDocument/2006/relationships/chart" Target="../charts/chart1.xml"/><Relationship Id="rId4" Type="http://schemas.openxmlformats.org/officeDocument/2006/relationships/image" Target="../media/image15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11</xdr:col>
      <xdr:colOff>571500</xdr:colOff>
      <xdr:row>98</xdr:row>
      <xdr:rowOff>278947</xdr:rowOff>
    </xdr:from>
    <xdr:ext cx="2809875" cy="361950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7932964" y="20240626"/>
          <a:ext cx="2809875" cy="361950"/>
        </a:xfrm>
        <a:prstGeom prst="rect">
          <a:avLst/>
        </a:prstGeom>
        <a:solidFill>
          <a:schemeClr val="lt1"/>
        </a:solidFill>
        <a:ln w="9525" cap="flat" cmpd="sng">
          <a:solidFill>
            <a:srgbClr val="BABABA"/>
          </a:solidFill>
          <a:prstDash val="solid"/>
          <a:round/>
          <a:headEnd type="none" w="sm" len="sm"/>
          <a:tailEnd type="none" w="sm" len="sm"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400" b="1">
              <a:solidFill>
                <a:srgbClr val="FF0000"/>
              </a:solidFill>
              <a:latin typeface="Calibri"/>
              <a:ea typeface="Calibri"/>
              <a:cs typeface="Calibri"/>
              <a:sym typeface="Calibri"/>
            </a:rPr>
            <a:t>Дві помилки у підручнику!</a:t>
          </a:r>
          <a:endParaRPr sz="1400"/>
        </a:p>
      </xdr:txBody>
    </xdr:sp>
    <xdr:clientData fLocksWithSheet="0"/>
  </xdr:oneCellAnchor>
  <xdr:oneCellAnchor>
    <xdr:from>
      <xdr:col>0</xdr:col>
      <xdr:colOff>0</xdr:colOff>
      <xdr:row>0</xdr:row>
      <xdr:rowOff>0</xdr:rowOff>
    </xdr:from>
    <xdr:ext cx="12296775" cy="3048000"/>
    <xdr:pic>
      <xdr:nvPicPr>
        <xdr:cNvPr id="2" name="image2.png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12296775" cy="3048000"/>
        </a:xfrm>
        <a:prstGeom prst="rect">
          <a:avLst/>
        </a:prstGeom>
        <a:noFill/>
      </xdr:spPr>
    </xdr:pic>
    <xdr:clientData fLocksWithSheet="0"/>
  </xdr:oneCellAnchor>
  <xdr:oneCellAnchor>
    <xdr:from>
      <xdr:col>0</xdr:col>
      <xdr:colOff>0</xdr:colOff>
      <xdr:row>15</xdr:row>
      <xdr:rowOff>136070</xdr:rowOff>
    </xdr:from>
    <xdr:ext cx="9020175" cy="1533525"/>
    <xdr:pic>
      <xdr:nvPicPr>
        <xdr:cNvPr id="4" name="image3.png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 preferRelativeResize="0"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0" y="2993570"/>
          <a:ext cx="9020175" cy="1533525"/>
        </a:xfrm>
        <a:prstGeom prst="rect">
          <a:avLst/>
        </a:prstGeom>
        <a:noFill/>
      </xdr:spPr>
    </xdr:pic>
    <xdr:clientData fLocksWithSheet="0"/>
  </xdr:oneCellAnchor>
  <xdr:oneCellAnchor>
    <xdr:from>
      <xdr:col>1</xdr:col>
      <xdr:colOff>27215</xdr:colOff>
      <xdr:row>29</xdr:row>
      <xdr:rowOff>13607</xdr:rowOff>
    </xdr:from>
    <xdr:ext cx="6181725" cy="3028950"/>
    <xdr:pic>
      <xdr:nvPicPr>
        <xdr:cNvPr id="5" name="image4.png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 preferRelativeResize="0"/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12322" y="5755821"/>
          <a:ext cx="6181725" cy="3028950"/>
        </a:xfrm>
        <a:prstGeom prst="rect">
          <a:avLst/>
        </a:prstGeom>
        <a:noFill/>
      </xdr:spPr>
    </xdr:pic>
    <xdr:clientData fLocksWithSheet="0"/>
  </xdr:oneCellAnchor>
  <xdr:oneCellAnchor>
    <xdr:from>
      <xdr:col>10</xdr:col>
      <xdr:colOff>25853</xdr:colOff>
      <xdr:row>40</xdr:row>
      <xdr:rowOff>57151</xdr:rowOff>
    </xdr:from>
    <xdr:ext cx="6734175" cy="1820635"/>
    <xdr:pic>
      <xdr:nvPicPr>
        <xdr:cNvPr id="6" name="image6.png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 preferRelativeResize="0"/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802210" y="8044544"/>
          <a:ext cx="6734175" cy="1820635"/>
        </a:xfrm>
        <a:prstGeom prst="rect">
          <a:avLst/>
        </a:prstGeom>
        <a:noFill/>
      </xdr:spPr>
    </xdr:pic>
    <xdr:clientData fLocksWithSheet="0"/>
  </xdr:oneCellAnchor>
  <xdr:oneCellAnchor>
    <xdr:from>
      <xdr:col>1</xdr:col>
      <xdr:colOff>6805</xdr:colOff>
      <xdr:row>54</xdr:row>
      <xdr:rowOff>16330</xdr:rowOff>
    </xdr:from>
    <xdr:ext cx="6096000" cy="2971800"/>
    <xdr:pic>
      <xdr:nvPicPr>
        <xdr:cNvPr id="7" name="image5.png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 preferRelativeResize="0"/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591912" y="10929259"/>
          <a:ext cx="6096000" cy="2971800"/>
        </a:xfrm>
        <a:prstGeom prst="rect">
          <a:avLst/>
        </a:prstGeom>
        <a:noFill/>
      </xdr:spPr>
    </xdr:pic>
    <xdr:clientData fLocksWithSheet="0"/>
  </xdr:oneCellAnchor>
  <xdr:oneCellAnchor>
    <xdr:from>
      <xdr:col>10</xdr:col>
      <xdr:colOff>12247</xdr:colOff>
      <xdr:row>63</xdr:row>
      <xdr:rowOff>24493</xdr:rowOff>
    </xdr:from>
    <xdr:ext cx="6667500" cy="2219325"/>
    <xdr:pic>
      <xdr:nvPicPr>
        <xdr:cNvPr id="8" name="image7.png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 preferRelativeResize="0"/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788604" y="12774386"/>
          <a:ext cx="6667500" cy="2219325"/>
        </a:xfrm>
        <a:prstGeom prst="rect">
          <a:avLst/>
        </a:prstGeom>
        <a:noFill/>
      </xdr:spPr>
    </xdr:pic>
    <xdr:clientData fLocksWithSheet="0"/>
  </xdr:oneCellAnchor>
  <xdr:oneCellAnchor>
    <xdr:from>
      <xdr:col>1</xdr:col>
      <xdr:colOff>13607</xdr:colOff>
      <xdr:row>79</xdr:row>
      <xdr:rowOff>32658</xdr:rowOff>
    </xdr:from>
    <xdr:ext cx="5981700" cy="2334985"/>
    <xdr:pic>
      <xdr:nvPicPr>
        <xdr:cNvPr id="9" name="image9.png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 preferRelativeResize="0"/>
      </xdr:nvPicPr>
      <xdr:blipFill>
        <a:blip xmlns:r="http://schemas.openxmlformats.org/officeDocument/2006/relationships" r:embed="rId7" cstate="print"/>
        <a:stretch>
          <a:fillRect/>
        </a:stretch>
      </xdr:blipFill>
      <xdr:spPr>
        <a:xfrm>
          <a:off x="598714" y="16116301"/>
          <a:ext cx="5981700" cy="2334985"/>
        </a:xfrm>
        <a:prstGeom prst="rect">
          <a:avLst/>
        </a:prstGeom>
        <a:noFill/>
      </xdr:spPr>
    </xdr:pic>
    <xdr:clientData fLocksWithSheet="0"/>
  </xdr:oneCellAnchor>
  <xdr:oneCellAnchor>
    <xdr:from>
      <xdr:col>9</xdr:col>
      <xdr:colOff>395968</xdr:colOff>
      <xdr:row>83</xdr:row>
      <xdr:rowOff>153761</xdr:rowOff>
    </xdr:from>
    <xdr:ext cx="6781800" cy="2095500"/>
    <xdr:pic>
      <xdr:nvPicPr>
        <xdr:cNvPr id="10" name="image8.png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 preferRelativeResize="0"/>
      </xdr:nvPicPr>
      <xdr:blipFill>
        <a:blip xmlns:r="http://schemas.openxmlformats.org/officeDocument/2006/relationships" r:embed="rId8" cstate="print"/>
        <a:stretch>
          <a:fillRect/>
        </a:stretch>
      </xdr:blipFill>
      <xdr:spPr>
        <a:xfrm>
          <a:off x="6587218" y="17053832"/>
          <a:ext cx="6781800" cy="2095500"/>
        </a:xfrm>
        <a:prstGeom prst="rect">
          <a:avLst/>
        </a:prstGeom>
        <a:noFill/>
      </xdr:spPr>
    </xdr:pic>
    <xdr:clientData fLocksWithSheet="0"/>
  </xdr:oneCellAnchor>
  <xdr:oneCellAnchor>
    <xdr:from>
      <xdr:col>12</xdr:col>
      <xdr:colOff>55789</xdr:colOff>
      <xdr:row>116</xdr:row>
      <xdr:rowOff>140155</xdr:rowOff>
    </xdr:from>
    <xdr:ext cx="3429000" cy="1266825"/>
    <xdr:pic>
      <xdr:nvPicPr>
        <xdr:cNvPr id="11" name="image10.png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 preferRelativeResize="0"/>
      </xdr:nvPicPr>
      <xdr:blipFill>
        <a:blip xmlns:r="http://schemas.openxmlformats.org/officeDocument/2006/relationships" r:embed="rId9" cstate="print"/>
        <a:stretch>
          <a:fillRect/>
        </a:stretch>
      </xdr:blipFill>
      <xdr:spPr>
        <a:xfrm>
          <a:off x="8002360" y="23857405"/>
          <a:ext cx="3429000" cy="1266825"/>
        </a:xfrm>
        <a:prstGeom prst="rect">
          <a:avLst/>
        </a:prstGeom>
        <a:noFill/>
      </xdr:spPr>
    </xdr:pic>
    <xdr:clientData fLocksWithSheet="0"/>
  </xdr:oneCellAnchor>
  <xdr:oneCellAnchor>
    <xdr:from>
      <xdr:col>1</xdr:col>
      <xdr:colOff>9525</xdr:colOff>
      <xdr:row>99</xdr:row>
      <xdr:rowOff>9526</xdr:rowOff>
    </xdr:from>
    <xdr:ext cx="7324725" cy="3773260"/>
    <xdr:pic>
      <xdr:nvPicPr>
        <xdr:cNvPr id="12" name="image13.png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 preferRelativeResize="0"/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594632" y="20256955"/>
          <a:ext cx="7324725" cy="3773260"/>
        </a:xfrm>
        <a:prstGeom prst="rect">
          <a:avLst/>
        </a:prstGeom>
        <a:noFill/>
      </xdr:spPr>
    </xdr:pic>
    <xdr:clientData fLocksWithSheet="0"/>
  </xdr:oneCellAnchor>
  <xdr:oneCellAnchor>
    <xdr:from>
      <xdr:col>23</xdr:col>
      <xdr:colOff>342900</xdr:colOff>
      <xdr:row>134</xdr:row>
      <xdr:rowOff>0</xdr:rowOff>
    </xdr:from>
    <xdr:ext cx="4810125" cy="1666875"/>
    <xdr:pic>
      <xdr:nvPicPr>
        <xdr:cNvPr id="13" name="image1.png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PicPr preferRelativeResize="0"/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23</xdr:col>
      <xdr:colOff>133350</xdr:colOff>
      <xdr:row>134</xdr:row>
      <xdr:rowOff>0</xdr:rowOff>
    </xdr:from>
    <xdr:ext cx="5991225" cy="666750"/>
    <xdr:pic>
      <xdr:nvPicPr>
        <xdr:cNvPr id="14" name="image12.png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PicPr preferRelativeResize="0"/>
      </xdr:nvPicPr>
      <xdr:blipFill>
        <a:blip xmlns:r="http://schemas.openxmlformats.org/officeDocument/2006/relationships" r:embed="rId12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23</xdr:col>
      <xdr:colOff>542925</xdr:colOff>
      <xdr:row>134</xdr:row>
      <xdr:rowOff>0</xdr:rowOff>
    </xdr:from>
    <xdr:ext cx="2428875" cy="857250"/>
    <xdr:pic>
      <xdr:nvPicPr>
        <xdr:cNvPr id="15" name="image11.png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PicPr preferRelativeResize="0"/>
      </xdr:nvPicPr>
      <xdr:blipFill>
        <a:blip xmlns:r="http://schemas.openxmlformats.org/officeDocument/2006/relationships" r:embed="rId13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19</xdr:col>
      <xdr:colOff>180975</xdr:colOff>
      <xdr:row>34</xdr:row>
      <xdr:rowOff>133350</xdr:rowOff>
    </xdr:from>
    <xdr:ext cx="4371975" cy="2809875"/>
    <xdr:graphicFrame macro="">
      <xdr:nvGraphicFramePr>
        <xdr:cNvPr id="1006329262" name="Chart 1">
          <a:extLst>
            <a:ext uri="{FF2B5EF4-FFF2-40B4-BE49-F238E27FC236}">
              <a16:creationId xmlns:a16="http://schemas.microsoft.com/office/drawing/2014/main" id="{00000000-0008-0000-0100-0000AE5DFB3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oneCellAnchor>
  <xdr:oneCellAnchor>
    <xdr:from>
      <xdr:col>5</xdr:col>
      <xdr:colOff>790575</xdr:colOff>
      <xdr:row>0</xdr:row>
      <xdr:rowOff>0</xdr:rowOff>
    </xdr:from>
    <xdr:ext cx="2847975" cy="1257300"/>
    <xdr:pic>
      <xdr:nvPicPr>
        <xdr:cNvPr id="2" name="image10.png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11</xdr:col>
      <xdr:colOff>447675</xdr:colOff>
      <xdr:row>0</xdr:row>
      <xdr:rowOff>161925</xdr:rowOff>
    </xdr:from>
    <xdr:ext cx="5695950" cy="2981325"/>
    <xdr:pic>
      <xdr:nvPicPr>
        <xdr:cNvPr id="3" name="image14.png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 preferRelativeResize="0"/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0</xdr:col>
      <xdr:colOff>0</xdr:colOff>
      <xdr:row>22</xdr:row>
      <xdr:rowOff>123825</xdr:rowOff>
    </xdr:from>
    <xdr:ext cx="11963400" cy="3343275"/>
    <xdr:pic>
      <xdr:nvPicPr>
        <xdr:cNvPr id="4" name="image15.png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 preferRelativeResize="0"/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590550</xdr:colOff>
      <xdr:row>22</xdr:row>
      <xdr:rowOff>114300</xdr:rowOff>
    </xdr:from>
    <xdr:ext cx="4810125" cy="1628775"/>
    <xdr:pic>
      <xdr:nvPicPr>
        <xdr:cNvPr id="2" name="image1.png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1:L1000"/>
  <sheetViews>
    <sheetView tabSelected="1" topLeftCell="A79" zoomScale="70" zoomScaleNormal="70" workbookViewId="0">
      <selection activeCell="U107" sqref="U107"/>
    </sheetView>
  </sheetViews>
  <sheetFormatPr defaultColWidth="12.625" defaultRowHeight="15" customHeight="1" x14ac:dyDescent="0.2"/>
  <cols>
    <col min="1" max="4" width="7.625" customWidth="1"/>
    <col min="5" max="5" width="8.375" customWidth="1"/>
    <col min="6" max="6" width="13" customWidth="1"/>
    <col min="7" max="7" width="10.75" customWidth="1"/>
    <col min="8" max="8" width="10.625" customWidth="1"/>
    <col min="9" max="34" width="7.625" customWidth="1"/>
  </cols>
  <sheetData>
    <row r="21" spans="2:10" ht="15.75" customHeight="1" x14ac:dyDescent="0.2"/>
    <row r="22" spans="2:10" ht="15.75" customHeight="1" x14ac:dyDescent="0.2"/>
    <row r="23" spans="2:10" ht="15.75" customHeight="1" x14ac:dyDescent="0.2"/>
    <row r="24" spans="2:10" ht="15.75" customHeight="1" x14ac:dyDescent="0.2"/>
    <row r="25" spans="2:10" ht="15.75" customHeight="1" x14ac:dyDescent="0.2">
      <c r="B25" s="9"/>
      <c r="C25" s="9"/>
      <c r="D25" s="9"/>
      <c r="E25" s="9"/>
      <c r="F25" s="9"/>
      <c r="G25" s="9"/>
      <c r="H25" s="9"/>
      <c r="I25" s="9"/>
      <c r="J25" s="9"/>
    </row>
    <row r="26" spans="2:10" ht="15.75" customHeight="1" x14ac:dyDescent="0.2">
      <c r="B26" s="9"/>
      <c r="C26" s="9"/>
      <c r="D26" s="9"/>
      <c r="E26" s="9"/>
      <c r="F26" s="9"/>
      <c r="G26" s="9"/>
      <c r="H26" s="9"/>
      <c r="I26" s="9"/>
      <c r="J26" s="9"/>
    </row>
    <row r="27" spans="2:10" ht="15.75" customHeight="1" x14ac:dyDescent="0.2">
      <c r="B27" s="9"/>
      <c r="C27" s="9"/>
      <c r="D27" s="9"/>
      <c r="E27" s="9"/>
      <c r="F27" s="9"/>
      <c r="G27" s="9"/>
      <c r="H27" s="9"/>
      <c r="I27" s="9"/>
      <c r="J27" s="9"/>
    </row>
    <row r="28" spans="2:10" ht="12.75" customHeight="1" x14ac:dyDescent="0.2">
      <c r="B28" s="9"/>
      <c r="H28" s="9"/>
      <c r="I28" s="9"/>
      <c r="J28" s="9"/>
    </row>
    <row r="29" spans="2:10" ht="26.25" customHeight="1" x14ac:dyDescent="0.35">
      <c r="B29" s="10" t="s">
        <v>8</v>
      </c>
      <c r="C29" s="10"/>
      <c r="D29" s="10"/>
      <c r="E29" s="10"/>
      <c r="F29" s="10"/>
    </row>
    <row r="30" spans="2:10" ht="15.75" customHeight="1" x14ac:dyDescent="0.2"/>
    <row r="31" spans="2:10" ht="15.75" customHeight="1" x14ac:dyDescent="0.2"/>
    <row r="32" spans="2:10" ht="15.75" customHeight="1" x14ac:dyDescent="0.2"/>
    <row r="33" spans="2:10" ht="15.75" customHeight="1" x14ac:dyDescent="0.2"/>
    <row r="34" spans="2:10" ht="15.75" customHeight="1" x14ac:dyDescent="0.2"/>
    <row r="35" spans="2:10" ht="15.75" customHeight="1" x14ac:dyDescent="0.2"/>
    <row r="36" spans="2:10" ht="15.75" customHeight="1" x14ac:dyDescent="0.2"/>
    <row r="37" spans="2:10" ht="15.75" customHeight="1" x14ac:dyDescent="0.2"/>
    <row r="38" spans="2:10" ht="15.75" customHeight="1" x14ac:dyDescent="0.2"/>
    <row r="39" spans="2:10" ht="15.75" customHeight="1" x14ac:dyDescent="0.2"/>
    <row r="40" spans="2:10" ht="15.75" customHeight="1" x14ac:dyDescent="0.2"/>
    <row r="41" spans="2:10" ht="15.75" customHeight="1" x14ac:dyDescent="0.2"/>
    <row r="42" spans="2:10" ht="15.75" customHeight="1" x14ac:dyDescent="0.2"/>
    <row r="43" spans="2:10" ht="15.75" customHeight="1" x14ac:dyDescent="0.2"/>
    <row r="44" spans="2:10" ht="15.75" customHeight="1" x14ac:dyDescent="0.2"/>
    <row r="45" spans="2:10" ht="15.75" customHeight="1" x14ac:dyDescent="0.25">
      <c r="B45" s="3" t="s">
        <v>9</v>
      </c>
      <c r="C45" s="3" t="s">
        <v>12</v>
      </c>
      <c r="D45" s="4" t="s">
        <v>0</v>
      </c>
      <c r="E45" s="4" t="s">
        <v>1</v>
      </c>
      <c r="F45" s="15" t="s">
        <v>13</v>
      </c>
      <c r="G45" s="9"/>
      <c r="H45" s="9"/>
      <c r="I45" s="9"/>
      <c r="J45" s="9"/>
    </row>
    <row r="46" spans="2:10" ht="15.75" customHeight="1" x14ac:dyDescent="0.25">
      <c r="B46" s="3">
        <v>1</v>
      </c>
      <c r="C46" s="3">
        <v>1</v>
      </c>
      <c r="D46" s="4">
        <v>0</v>
      </c>
      <c r="E46" s="4">
        <v>0</v>
      </c>
      <c r="F46" s="15">
        <f>IF((D46*B46 + E46*C46) &gt;= 1.5, 1, 0)</f>
        <v>0</v>
      </c>
      <c r="G46" s="5" t="s">
        <v>14</v>
      </c>
      <c r="H46" s="2" t="s">
        <v>15</v>
      </c>
      <c r="I46" s="8">
        <v>0</v>
      </c>
      <c r="J46" s="2" t="b">
        <f>AND(D46,E46)</f>
        <v>0</v>
      </c>
    </row>
    <row r="47" spans="2:10" ht="15.75" customHeight="1" x14ac:dyDescent="0.25">
      <c r="B47" s="3">
        <v>1</v>
      </c>
      <c r="C47" s="3">
        <v>1</v>
      </c>
      <c r="D47" s="4">
        <v>0</v>
      </c>
      <c r="E47" s="4">
        <v>1</v>
      </c>
      <c r="F47" s="15">
        <f t="shared" ref="F47:F49" si="0">IF((D47*B47 + E47*C47) &gt;= 1.5, 1, 0)</f>
        <v>0</v>
      </c>
      <c r="G47" s="5" t="s">
        <v>16</v>
      </c>
      <c r="H47" s="2" t="s">
        <v>15</v>
      </c>
      <c r="I47" s="1">
        <v>0</v>
      </c>
      <c r="J47" s="2" t="b">
        <f>AND(D47,E47)</f>
        <v>0</v>
      </c>
    </row>
    <row r="48" spans="2:10" ht="15.75" customHeight="1" x14ac:dyDescent="0.25">
      <c r="B48" s="3">
        <v>1</v>
      </c>
      <c r="C48" s="3">
        <v>1</v>
      </c>
      <c r="D48" s="4">
        <v>1</v>
      </c>
      <c r="E48" s="4">
        <v>0</v>
      </c>
      <c r="F48" s="15">
        <f t="shared" si="0"/>
        <v>0</v>
      </c>
      <c r="G48" s="5" t="s">
        <v>16</v>
      </c>
      <c r="H48" s="2" t="s">
        <v>15</v>
      </c>
      <c r="I48" s="1">
        <v>0</v>
      </c>
      <c r="J48" s="2" t="b">
        <f>AND(D48,E48)</f>
        <v>0</v>
      </c>
    </row>
    <row r="49" spans="2:10" ht="15.75" customHeight="1" x14ac:dyDescent="0.25">
      <c r="B49" s="3">
        <v>1</v>
      </c>
      <c r="C49" s="3">
        <v>1</v>
      </c>
      <c r="D49" s="4">
        <v>1</v>
      </c>
      <c r="E49" s="4">
        <v>1</v>
      </c>
      <c r="F49" s="15">
        <f t="shared" si="0"/>
        <v>1</v>
      </c>
      <c r="G49" s="5" t="s">
        <v>17</v>
      </c>
      <c r="H49" s="2" t="s">
        <v>18</v>
      </c>
      <c r="I49" s="1">
        <v>1</v>
      </c>
      <c r="J49" s="2" t="b">
        <f>AND(D49,E49)</f>
        <v>1</v>
      </c>
    </row>
    <row r="50" spans="2:10" ht="15.75" customHeight="1" x14ac:dyDescent="0.2"/>
    <row r="51" spans="2:10" ht="15.75" customHeight="1" x14ac:dyDescent="0.2"/>
    <row r="52" spans="2:10" ht="15.75" customHeight="1" x14ac:dyDescent="0.2"/>
    <row r="53" spans="2:10" ht="15.75" customHeight="1" x14ac:dyDescent="0.2"/>
    <row r="54" spans="2:10" ht="21" customHeight="1" x14ac:dyDescent="0.35">
      <c r="B54" s="10" t="s">
        <v>19</v>
      </c>
      <c r="C54" s="11"/>
      <c r="D54" s="11"/>
      <c r="E54" s="11"/>
      <c r="F54" s="11"/>
    </row>
    <row r="55" spans="2:10" ht="15.75" customHeight="1" x14ac:dyDescent="0.2"/>
    <row r="56" spans="2:10" ht="15.75" customHeight="1" x14ac:dyDescent="0.2"/>
    <row r="57" spans="2:10" ht="15.75" customHeight="1" x14ac:dyDescent="0.2"/>
    <row r="58" spans="2:10" ht="15.75" customHeight="1" x14ac:dyDescent="0.2"/>
    <row r="59" spans="2:10" ht="15.75" customHeight="1" x14ac:dyDescent="0.2"/>
    <row r="60" spans="2:10" ht="15.75" customHeight="1" x14ac:dyDescent="0.2"/>
    <row r="61" spans="2:10" ht="15.75" customHeight="1" x14ac:dyDescent="0.2"/>
    <row r="62" spans="2:10" ht="15.75" customHeight="1" x14ac:dyDescent="0.2"/>
    <row r="63" spans="2:10" ht="15.75" customHeight="1" x14ac:dyDescent="0.2"/>
    <row r="64" spans="2:10" ht="15.75" customHeight="1" x14ac:dyDescent="0.2"/>
    <row r="65" spans="2:10" ht="15.75" customHeight="1" x14ac:dyDescent="0.2"/>
    <row r="66" spans="2:10" ht="15.75" customHeight="1" x14ac:dyDescent="0.2"/>
    <row r="67" spans="2:10" ht="15.75" customHeight="1" x14ac:dyDescent="0.2"/>
    <row r="68" spans="2:10" ht="15.75" customHeight="1" x14ac:dyDescent="0.2"/>
    <row r="69" spans="2:10" ht="15.75" customHeight="1" x14ac:dyDescent="0.2"/>
    <row r="70" spans="2:10" ht="15.75" customHeight="1" x14ac:dyDescent="0.25">
      <c r="B70" s="3" t="s">
        <v>9</v>
      </c>
      <c r="C70" s="3" t="s">
        <v>12</v>
      </c>
      <c r="D70" s="4" t="s">
        <v>0</v>
      </c>
      <c r="E70" s="4" t="s">
        <v>1</v>
      </c>
      <c r="F70" s="15" t="s">
        <v>13</v>
      </c>
    </row>
    <row r="71" spans="2:10" ht="15.75" customHeight="1" x14ac:dyDescent="0.25">
      <c r="B71" s="3">
        <v>1</v>
      </c>
      <c r="C71" s="3">
        <v>1</v>
      </c>
      <c r="D71" s="4">
        <v>0</v>
      </c>
      <c r="E71" s="4">
        <v>0</v>
      </c>
      <c r="F71" s="15">
        <f>IF((D71*B71 + E71*C71)&gt;= 0.5, 1, 0)</f>
        <v>0</v>
      </c>
      <c r="G71" s="5" t="s">
        <v>20</v>
      </c>
      <c r="H71" s="2" t="s">
        <v>15</v>
      </c>
      <c r="I71" s="1">
        <v>0</v>
      </c>
      <c r="J71" s="2" t="b">
        <f t="shared" ref="J71:J74" si="1">OR(D71,E71)</f>
        <v>0</v>
      </c>
    </row>
    <row r="72" spans="2:10" ht="15.75" customHeight="1" x14ac:dyDescent="0.25">
      <c r="B72" s="3">
        <v>1</v>
      </c>
      <c r="C72" s="3">
        <v>1</v>
      </c>
      <c r="D72" s="4">
        <v>0</v>
      </c>
      <c r="E72" s="4">
        <v>1</v>
      </c>
      <c r="F72" s="15">
        <f t="shared" ref="F72:F74" si="2">IF((D72*B72 + E72*C72)&gt;= 0.5, 1, 0)</f>
        <v>1</v>
      </c>
      <c r="G72" s="5" t="s">
        <v>21</v>
      </c>
      <c r="H72" s="2" t="s">
        <v>18</v>
      </c>
      <c r="I72" s="1">
        <v>1</v>
      </c>
      <c r="J72" s="2" t="b">
        <f t="shared" si="1"/>
        <v>1</v>
      </c>
    </row>
    <row r="73" spans="2:10" ht="15.75" customHeight="1" x14ac:dyDescent="0.25">
      <c r="B73" s="3">
        <v>1</v>
      </c>
      <c r="C73" s="3">
        <v>1</v>
      </c>
      <c r="D73" s="4">
        <v>1</v>
      </c>
      <c r="E73" s="4">
        <v>0</v>
      </c>
      <c r="F73" s="15">
        <f t="shared" si="2"/>
        <v>1</v>
      </c>
      <c r="G73" s="5" t="s">
        <v>21</v>
      </c>
      <c r="H73" s="2" t="s">
        <v>18</v>
      </c>
      <c r="I73" s="1">
        <v>1</v>
      </c>
      <c r="J73" s="2" t="b">
        <f t="shared" si="1"/>
        <v>1</v>
      </c>
    </row>
    <row r="74" spans="2:10" ht="15.75" customHeight="1" x14ac:dyDescent="0.25">
      <c r="B74" s="3">
        <v>1</v>
      </c>
      <c r="C74" s="3">
        <v>1</v>
      </c>
      <c r="D74" s="4">
        <v>1</v>
      </c>
      <c r="E74" s="4">
        <v>1</v>
      </c>
      <c r="F74" s="15">
        <f t="shared" si="2"/>
        <v>1</v>
      </c>
      <c r="G74" s="5" t="s">
        <v>22</v>
      </c>
      <c r="H74" s="2" t="s">
        <v>18</v>
      </c>
      <c r="I74" s="1">
        <v>1</v>
      </c>
      <c r="J74" s="2" t="b">
        <f t="shared" si="1"/>
        <v>1</v>
      </c>
    </row>
    <row r="75" spans="2:10" ht="15.75" customHeight="1" x14ac:dyDescent="0.2"/>
    <row r="76" spans="2:10" ht="15.75" customHeight="1" x14ac:dyDescent="0.2"/>
    <row r="77" spans="2:10" ht="15.75" customHeight="1" x14ac:dyDescent="0.2"/>
    <row r="78" spans="2:10" ht="15.75" customHeight="1" x14ac:dyDescent="0.2"/>
    <row r="79" spans="2:10" ht="21" customHeight="1" x14ac:dyDescent="0.35">
      <c r="B79" s="12" t="s">
        <v>23</v>
      </c>
      <c r="C79" s="13"/>
      <c r="D79" s="13"/>
      <c r="E79" s="13"/>
      <c r="F79" s="6"/>
    </row>
    <row r="80" spans="2:10" ht="15.75" customHeight="1" x14ac:dyDescent="0.2"/>
    <row r="81" spans="2:8" ht="15.75" customHeight="1" x14ac:dyDescent="0.2"/>
    <row r="82" spans="2:8" ht="15.75" customHeight="1" x14ac:dyDescent="0.2"/>
    <row r="83" spans="2:8" ht="15.75" customHeight="1" x14ac:dyDescent="0.25">
      <c r="B83" s="1"/>
    </row>
    <row r="84" spans="2:8" ht="15.75" customHeight="1" x14ac:dyDescent="0.25">
      <c r="B84" s="1"/>
    </row>
    <row r="85" spans="2:8" ht="15.75" customHeight="1" x14ac:dyDescent="0.25">
      <c r="B85" s="6"/>
    </row>
    <row r="86" spans="2:8" ht="15.75" customHeight="1" x14ac:dyDescent="0.2"/>
    <row r="87" spans="2:8" ht="15.75" customHeight="1" x14ac:dyDescent="0.2"/>
    <row r="88" spans="2:8" ht="15.75" customHeight="1" x14ac:dyDescent="0.2"/>
    <row r="89" spans="2:8" ht="15.75" customHeight="1" x14ac:dyDescent="0.2"/>
    <row r="90" spans="2:8" ht="15.75" customHeight="1" x14ac:dyDescent="0.2"/>
    <row r="91" spans="2:8" ht="15.75" customHeight="1" x14ac:dyDescent="0.2"/>
    <row r="92" spans="2:8" ht="15.75" customHeight="1" x14ac:dyDescent="0.25">
      <c r="B92" s="3" t="s">
        <v>9</v>
      </c>
      <c r="C92" s="4" t="s">
        <v>0</v>
      </c>
      <c r="D92" s="4" t="s">
        <v>1</v>
      </c>
      <c r="E92" s="15" t="s">
        <v>13</v>
      </c>
    </row>
    <row r="93" spans="2:8" ht="15.75" customHeight="1" x14ac:dyDescent="0.25">
      <c r="B93" s="3">
        <v>-1.5</v>
      </c>
      <c r="C93" s="4">
        <v>0</v>
      </c>
      <c r="D93" s="4">
        <v>1</v>
      </c>
      <c r="E93" s="15">
        <f>IF((C93*B93 + D93) &gt;= -1, 1, 0)</f>
        <v>1</v>
      </c>
      <c r="F93" s="2" t="s">
        <v>24</v>
      </c>
      <c r="G93" s="2" t="s">
        <v>18</v>
      </c>
      <c r="H93" s="1">
        <v>1</v>
      </c>
    </row>
    <row r="94" spans="2:8" ht="15.75" customHeight="1" x14ac:dyDescent="0.25">
      <c r="B94" s="3">
        <v>-1.5</v>
      </c>
      <c r="C94" s="4">
        <v>1</v>
      </c>
      <c r="D94" s="4">
        <v>0</v>
      </c>
      <c r="E94" s="15">
        <f>IF((C94*B94 + D94) &gt;= -1, 1, 0)</f>
        <v>0</v>
      </c>
      <c r="F94" s="5" t="s">
        <v>25</v>
      </c>
      <c r="G94" s="2" t="s">
        <v>26</v>
      </c>
      <c r="H94" s="1">
        <v>0</v>
      </c>
    </row>
    <row r="95" spans="2:8" ht="15.75" customHeight="1" x14ac:dyDescent="0.2"/>
    <row r="96" spans="2:8" ht="15.75" customHeight="1" x14ac:dyDescent="0.2"/>
    <row r="97" spans="2:6" ht="15.75" customHeight="1" x14ac:dyDescent="0.2"/>
    <row r="98" spans="2:6" ht="15.75" customHeight="1" x14ac:dyDescent="0.2"/>
    <row r="99" spans="2:6" ht="22.5" customHeight="1" x14ac:dyDescent="0.35">
      <c r="B99" s="12" t="s">
        <v>27</v>
      </c>
      <c r="C99" s="14"/>
      <c r="D99" s="14"/>
      <c r="E99" s="14"/>
      <c r="F99" s="14"/>
    </row>
    <row r="100" spans="2:6" ht="15.75" customHeight="1" x14ac:dyDescent="0.2"/>
    <row r="101" spans="2:6" ht="15.75" customHeight="1" x14ac:dyDescent="0.2"/>
    <row r="102" spans="2:6" ht="15.75" customHeight="1" x14ac:dyDescent="0.2"/>
    <row r="103" spans="2:6" ht="15.75" customHeight="1" x14ac:dyDescent="0.2"/>
    <row r="104" spans="2:6" ht="15.75" customHeight="1" x14ac:dyDescent="0.2"/>
    <row r="105" spans="2:6" ht="15.75" customHeight="1" x14ac:dyDescent="0.2"/>
    <row r="106" spans="2:6" ht="15.75" customHeight="1" x14ac:dyDescent="0.2"/>
    <row r="107" spans="2:6" ht="15.75" customHeight="1" x14ac:dyDescent="0.2"/>
    <row r="108" spans="2:6" ht="15.75" customHeight="1" x14ac:dyDescent="0.2"/>
    <row r="109" spans="2:6" ht="15.75" customHeight="1" x14ac:dyDescent="0.2"/>
    <row r="110" spans="2:6" ht="15.75" customHeight="1" x14ac:dyDescent="0.2"/>
    <row r="111" spans="2:6" ht="15.75" customHeight="1" x14ac:dyDescent="0.2"/>
    <row r="112" spans="2:6" ht="15.75" customHeight="1" x14ac:dyDescent="0.2"/>
    <row r="113" spans="2:12" ht="15.75" customHeight="1" x14ac:dyDescent="0.2"/>
    <row r="114" spans="2:12" ht="15.75" customHeight="1" x14ac:dyDescent="0.2"/>
    <row r="115" spans="2:12" ht="15.75" customHeight="1" x14ac:dyDescent="0.2"/>
    <row r="116" spans="2:12" ht="15.75" customHeight="1" x14ac:dyDescent="0.2"/>
    <row r="117" spans="2:12" ht="15.75" customHeight="1" x14ac:dyDescent="0.2"/>
    <row r="118" spans="2:12" ht="15.75" customHeight="1" x14ac:dyDescent="0.2"/>
    <row r="119" spans="2:12" ht="15.75" customHeight="1" x14ac:dyDescent="0.25">
      <c r="B119" s="17" t="s">
        <v>62</v>
      </c>
      <c r="C119" s="17" t="s">
        <v>28</v>
      </c>
      <c r="D119" s="17" t="s">
        <v>29</v>
      </c>
      <c r="E119" s="17" t="s">
        <v>30</v>
      </c>
      <c r="F119" s="16" t="s">
        <v>0</v>
      </c>
      <c r="G119" s="16" t="s">
        <v>1</v>
      </c>
      <c r="H119" s="17" t="s">
        <v>31</v>
      </c>
      <c r="I119" s="17" t="s">
        <v>32</v>
      </c>
      <c r="J119" s="16" t="s">
        <v>33</v>
      </c>
      <c r="K119" s="16" t="s">
        <v>34</v>
      </c>
      <c r="L119" s="15" t="s">
        <v>13</v>
      </c>
    </row>
    <row r="120" spans="2:12" ht="15.75" customHeight="1" x14ac:dyDescent="0.25">
      <c r="B120" s="17">
        <v>1</v>
      </c>
      <c r="C120" s="17">
        <v>-1</v>
      </c>
      <c r="D120" s="17">
        <v>-1</v>
      </c>
      <c r="E120" s="17">
        <v>1</v>
      </c>
      <c r="F120" s="16">
        <v>0</v>
      </c>
      <c r="G120" s="16">
        <v>0</v>
      </c>
      <c r="H120" s="17">
        <v>1</v>
      </c>
      <c r="I120" s="17">
        <v>1</v>
      </c>
      <c r="J120" s="16">
        <f>IF((F120*B120 + G120*C120) &gt;= 0.5, 1, 0)</f>
        <v>0</v>
      </c>
      <c r="K120" s="16">
        <f>IF((F120*D120 + G120*E120) &gt;= 0.5, 1, 0)</f>
        <v>0</v>
      </c>
      <c r="L120" s="15">
        <f>IF((J120*H120 + K120*I120) &gt;= 0.5, 1, 0)</f>
        <v>0</v>
      </c>
    </row>
    <row r="121" spans="2:12" ht="15.75" customHeight="1" x14ac:dyDescent="0.25">
      <c r="B121" s="17">
        <v>1</v>
      </c>
      <c r="C121" s="17">
        <v>-1</v>
      </c>
      <c r="D121" s="17">
        <v>-1</v>
      </c>
      <c r="E121" s="17">
        <v>1</v>
      </c>
      <c r="F121" s="16">
        <v>0</v>
      </c>
      <c r="G121" s="16">
        <v>1</v>
      </c>
      <c r="H121" s="17">
        <v>1</v>
      </c>
      <c r="I121" s="17">
        <v>1</v>
      </c>
      <c r="J121" s="16">
        <f t="shared" ref="J121:J123" si="3">IF((F121*B121 + G121*C121) &gt;= 0.5, 1, 0)</f>
        <v>0</v>
      </c>
      <c r="K121" s="16">
        <f t="shared" ref="K121:K123" si="4">IF((F121*D121 + G121*E121) &gt;= 0.5, 1, 0)</f>
        <v>1</v>
      </c>
      <c r="L121" s="15">
        <f t="shared" ref="L121:L123" si="5">IF((J121*H121 + K121*I121) &gt;= 0.5, 1, 0)</f>
        <v>1</v>
      </c>
    </row>
    <row r="122" spans="2:12" ht="15.75" customHeight="1" x14ac:dyDescent="0.25">
      <c r="B122" s="17">
        <v>1</v>
      </c>
      <c r="C122" s="17">
        <v>-1</v>
      </c>
      <c r="D122" s="17">
        <v>-1</v>
      </c>
      <c r="E122" s="17">
        <v>1</v>
      </c>
      <c r="F122" s="16">
        <v>1</v>
      </c>
      <c r="G122" s="16">
        <v>0</v>
      </c>
      <c r="H122" s="17">
        <v>1</v>
      </c>
      <c r="I122" s="17">
        <v>1</v>
      </c>
      <c r="J122" s="16">
        <f t="shared" si="3"/>
        <v>1</v>
      </c>
      <c r="K122" s="16">
        <f t="shared" si="4"/>
        <v>0</v>
      </c>
      <c r="L122" s="15">
        <f t="shared" si="5"/>
        <v>1</v>
      </c>
    </row>
    <row r="123" spans="2:12" ht="15.75" customHeight="1" x14ac:dyDescent="0.25">
      <c r="B123" s="17">
        <v>1</v>
      </c>
      <c r="C123" s="17">
        <v>-1</v>
      </c>
      <c r="D123" s="17">
        <v>-1</v>
      </c>
      <c r="E123" s="17">
        <v>1</v>
      </c>
      <c r="F123" s="16">
        <v>1</v>
      </c>
      <c r="G123" s="16">
        <v>1</v>
      </c>
      <c r="H123" s="17">
        <v>1</v>
      </c>
      <c r="I123" s="17">
        <v>1</v>
      </c>
      <c r="J123" s="16">
        <f t="shared" si="3"/>
        <v>0</v>
      </c>
      <c r="K123" s="16">
        <f t="shared" si="4"/>
        <v>0</v>
      </c>
      <c r="L123" s="15">
        <f t="shared" si="5"/>
        <v>0</v>
      </c>
    </row>
    <row r="124" spans="2:12" ht="15.75" customHeight="1" x14ac:dyDescent="0.2"/>
    <row r="125" spans="2:12" ht="15.75" customHeight="1" x14ac:dyDescent="0.2"/>
    <row r="126" spans="2:12" ht="15.75" customHeight="1" x14ac:dyDescent="0.2"/>
    <row r="127" spans="2:12" ht="15.75" customHeight="1" x14ac:dyDescent="0.2"/>
    <row r="128" spans="2:12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  <row r="997" ht="15.75" customHeight="1" x14ac:dyDescent="0.2"/>
    <row r="998" ht="15.75" customHeight="1" x14ac:dyDescent="0.2"/>
    <row r="999" ht="15.75" customHeight="1" x14ac:dyDescent="0.2"/>
    <row r="1000" ht="15.75" customHeight="1" x14ac:dyDescent="0.2"/>
  </sheetData>
  <pageMargins left="0.7" right="0.7" top="0.75" bottom="0.75" header="0" footer="0"/>
  <pageSetup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0:Y1000"/>
  <sheetViews>
    <sheetView workbookViewId="0"/>
  </sheetViews>
  <sheetFormatPr defaultColWidth="12.625" defaultRowHeight="15" customHeight="1" x14ac:dyDescent="0.2"/>
  <cols>
    <col min="1" max="4" width="7.625" customWidth="1"/>
    <col min="5" max="5" width="8.375" customWidth="1"/>
    <col min="6" max="6" width="13" customWidth="1"/>
    <col min="7" max="7" width="10.75" customWidth="1"/>
    <col min="8" max="8" width="10.625" customWidth="1"/>
    <col min="9" max="13" width="7.625" customWidth="1"/>
    <col min="14" max="14" width="10.125" customWidth="1"/>
    <col min="15" max="18" width="7.625" customWidth="1"/>
    <col min="19" max="19" width="11.125" customWidth="1"/>
    <col min="20" max="27" width="7.625" customWidth="1"/>
  </cols>
  <sheetData>
    <row r="20" spans="2:17" ht="15.75" x14ac:dyDescent="0.25">
      <c r="B20" s="4" t="s">
        <v>0</v>
      </c>
      <c r="C20" s="4" t="s">
        <v>1</v>
      </c>
      <c r="D20" s="4" t="s">
        <v>2</v>
      </c>
      <c r="E20" s="4" t="s">
        <v>35</v>
      </c>
      <c r="F20" s="4" t="s">
        <v>36</v>
      </c>
      <c r="G20" s="4" t="s">
        <v>37</v>
      </c>
      <c r="H20" s="4" t="s">
        <v>38</v>
      </c>
      <c r="I20" s="4" t="s">
        <v>39</v>
      </c>
      <c r="J20" s="4" t="s">
        <v>40</v>
      </c>
      <c r="K20" s="4" t="s">
        <v>41</v>
      </c>
      <c r="L20" s="4" t="s">
        <v>42</v>
      </c>
      <c r="M20" s="4" t="s">
        <v>43</v>
      </c>
      <c r="N20" s="4" t="s">
        <v>44</v>
      </c>
      <c r="O20" s="4" t="s">
        <v>45</v>
      </c>
      <c r="P20" s="4" t="s">
        <v>46</v>
      </c>
      <c r="Q20" s="1"/>
    </row>
    <row r="21" spans="2:17" ht="15.75" customHeight="1" x14ac:dyDescent="0.25">
      <c r="B21" s="4">
        <v>1.59</v>
      </c>
      <c r="C21" s="4">
        <v>5.73</v>
      </c>
      <c r="D21" s="4">
        <v>0.48</v>
      </c>
      <c r="E21" s="4">
        <v>5.28</v>
      </c>
      <c r="F21" s="4">
        <v>1.35</v>
      </c>
      <c r="G21" s="4">
        <v>5.91</v>
      </c>
      <c r="H21" s="4">
        <v>0.77</v>
      </c>
      <c r="I21" s="4">
        <v>5.25</v>
      </c>
      <c r="J21" s="4">
        <v>1.37</v>
      </c>
      <c r="K21" s="4">
        <v>4.42</v>
      </c>
      <c r="L21" s="4">
        <v>0.26</v>
      </c>
      <c r="M21" s="4">
        <v>4.21</v>
      </c>
      <c r="N21" s="4">
        <v>1.9</v>
      </c>
      <c r="O21" s="4">
        <v>4.08</v>
      </c>
      <c r="P21" s="4">
        <v>1.4</v>
      </c>
    </row>
    <row r="22" spans="2:17" ht="15.75" customHeight="1" x14ac:dyDescent="0.2"/>
    <row r="23" spans="2:17" ht="15.75" customHeight="1" x14ac:dyDescent="0.2"/>
    <row r="24" spans="2:17" ht="15.75" customHeight="1" x14ac:dyDescent="0.2"/>
    <row r="25" spans="2:17" ht="15.75" customHeight="1" x14ac:dyDescent="0.2"/>
    <row r="26" spans="2:17" ht="15.75" customHeight="1" x14ac:dyDescent="0.2"/>
    <row r="27" spans="2:17" ht="15.75" customHeight="1" x14ac:dyDescent="0.2"/>
    <row r="28" spans="2:17" ht="15.75" customHeight="1" x14ac:dyDescent="0.2"/>
    <row r="29" spans="2:17" ht="15.75" customHeight="1" x14ac:dyDescent="0.2"/>
    <row r="30" spans="2:17" ht="15.75" customHeight="1" x14ac:dyDescent="0.2"/>
    <row r="31" spans="2:17" ht="15.75" customHeight="1" x14ac:dyDescent="0.2"/>
    <row r="32" spans="2:17" ht="15.75" customHeight="1" x14ac:dyDescent="0.2"/>
    <row r="33" spans="1:25" ht="15.75" customHeight="1" x14ac:dyDescent="0.2"/>
    <row r="34" spans="1:25" ht="15.75" customHeight="1" x14ac:dyDescent="0.2"/>
    <row r="35" spans="1:25" ht="15.75" customHeight="1" x14ac:dyDescent="0.2"/>
    <row r="36" spans="1:25" ht="15.75" customHeight="1" x14ac:dyDescent="0.2"/>
    <row r="37" spans="1:25" ht="15.75" customHeight="1" x14ac:dyDescent="0.2"/>
    <row r="38" spans="1:25" ht="15.75" customHeight="1" x14ac:dyDescent="0.2"/>
    <row r="39" spans="1:25" ht="15.75" customHeight="1" x14ac:dyDescent="0.2"/>
    <row r="40" spans="1:25" ht="15.75" customHeight="1" x14ac:dyDescent="0.2"/>
    <row r="41" spans="1:25" ht="15.75" customHeight="1" x14ac:dyDescent="0.25">
      <c r="P41" s="1" t="s">
        <v>47</v>
      </c>
    </row>
    <row r="42" spans="1:25" ht="15.75" customHeight="1" x14ac:dyDescent="0.25">
      <c r="A42" s="3" t="s">
        <v>48</v>
      </c>
      <c r="B42" s="4" t="s">
        <v>4</v>
      </c>
      <c r="C42" s="4" t="s">
        <v>5</v>
      </c>
      <c r="D42" s="4" t="s">
        <v>6</v>
      </c>
      <c r="E42" s="4" t="s">
        <v>0</v>
      </c>
      <c r="F42" s="4" t="s">
        <v>1</v>
      </c>
      <c r="G42" s="4" t="s">
        <v>2</v>
      </c>
      <c r="H42" s="4" t="s">
        <v>49</v>
      </c>
      <c r="I42" s="4" t="s">
        <v>50</v>
      </c>
      <c r="J42" s="4" t="s">
        <v>51</v>
      </c>
      <c r="K42" s="4" t="s">
        <v>52</v>
      </c>
      <c r="L42" s="4" t="s">
        <v>53</v>
      </c>
      <c r="M42" s="4" t="s">
        <v>54</v>
      </c>
      <c r="N42" s="4" t="s">
        <v>55</v>
      </c>
      <c r="O42" s="4" t="s">
        <v>56</v>
      </c>
      <c r="P42" s="4" t="s">
        <v>57</v>
      </c>
      <c r="Q42" s="4" t="s">
        <v>58</v>
      </c>
      <c r="R42" s="4" t="s">
        <v>59</v>
      </c>
      <c r="S42" s="4" t="s">
        <v>60</v>
      </c>
      <c r="X42" s="1"/>
      <c r="Y42" s="1"/>
    </row>
    <row r="43" spans="1:25" ht="15.75" customHeight="1" x14ac:dyDescent="0.25">
      <c r="A43" s="3">
        <v>1</v>
      </c>
      <c r="B43" s="3">
        <v>0</v>
      </c>
      <c r="C43" s="3">
        <v>0</v>
      </c>
      <c r="D43" s="3">
        <v>0</v>
      </c>
      <c r="E43" s="4">
        <v>1.59</v>
      </c>
      <c r="F43" s="4">
        <v>5.73</v>
      </c>
      <c r="G43" s="4">
        <v>0.48</v>
      </c>
      <c r="H43" s="3">
        <f t="shared" ref="H43:H54" si="0">B43*E43+C43*F43+D43*G43</f>
        <v>0</v>
      </c>
      <c r="I43" s="3">
        <f t="shared" ref="I43:I54" si="1">1/(1+EXP(-H43))*10</f>
        <v>5</v>
      </c>
      <c r="J43" s="4">
        <v>5.28</v>
      </c>
      <c r="K43" s="7">
        <f t="shared" ref="K43:K54" si="2">(I43-J43)^2</f>
        <v>7.8400000000000136E-2</v>
      </c>
      <c r="L43" s="7">
        <f t="shared" ref="L43:L54" si="3">SUM($K$43:$K$54)</f>
        <v>92.205800000000011</v>
      </c>
      <c r="M43" s="7">
        <f t="shared" ref="M43:M54" si="4">(I43-J43)*(EXP(-H43))/(1+EXP(-H43))^2*E43</f>
        <v>-0.11130000000000011</v>
      </c>
      <c r="N43" s="7">
        <f t="shared" ref="N43:N54" si="5">(I43-J43)*(EXP(-H43))/(1+EXP(-H43))^2*F43</f>
        <v>-0.4011000000000004</v>
      </c>
      <c r="O43" s="7">
        <f t="shared" ref="O43:O54" si="6">(I43-J43)*(EXP(-H43))/(1+EXP(-H43))^2*G43</f>
        <v>-3.3600000000000026E-2</v>
      </c>
      <c r="P43" s="3">
        <v>0.1</v>
      </c>
      <c r="Q43" s="7">
        <f t="shared" ref="Q43:Q54" si="7">P43*M43*(-1)</f>
        <v>1.1130000000000011E-2</v>
      </c>
      <c r="R43" s="7">
        <f t="shared" ref="R43:R54" si="8">P43*N43*(-1)</f>
        <v>4.0110000000000041E-2</v>
      </c>
      <c r="S43" s="7">
        <f t="shared" ref="S43:S54" si="9">P43*O43*(-1)</f>
        <v>3.3600000000000027E-3</v>
      </c>
      <c r="X43" s="1"/>
      <c r="Y43" s="1"/>
    </row>
    <row r="44" spans="1:25" ht="15.75" customHeight="1" x14ac:dyDescent="0.25">
      <c r="A44" s="3">
        <v>2</v>
      </c>
      <c r="B44" s="3">
        <v>0</v>
      </c>
      <c r="C44" s="3">
        <v>0</v>
      </c>
      <c r="D44" s="3">
        <v>0</v>
      </c>
      <c r="E44" s="4">
        <v>5.73</v>
      </c>
      <c r="F44" s="4">
        <v>0.48</v>
      </c>
      <c r="G44" s="4">
        <v>5.28</v>
      </c>
      <c r="H44" s="3">
        <f t="shared" si="0"/>
        <v>0</v>
      </c>
      <c r="I44" s="3">
        <f t="shared" si="1"/>
        <v>5</v>
      </c>
      <c r="J44" s="4">
        <v>1.35</v>
      </c>
      <c r="K44" s="7">
        <f t="shared" si="2"/>
        <v>13.3225</v>
      </c>
      <c r="L44" s="7">
        <f t="shared" si="3"/>
        <v>92.205800000000011</v>
      </c>
      <c r="M44" s="7">
        <f t="shared" si="4"/>
        <v>5.2286250000000001</v>
      </c>
      <c r="N44" s="7">
        <f t="shared" si="5"/>
        <v>0.438</v>
      </c>
      <c r="O44" s="7">
        <f t="shared" si="6"/>
        <v>4.8180000000000005</v>
      </c>
      <c r="P44" s="3">
        <v>0.1</v>
      </c>
      <c r="Q44" s="7">
        <f t="shared" si="7"/>
        <v>-0.52286250000000001</v>
      </c>
      <c r="R44" s="7">
        <f t="shared" si="8"/>
        <v>-4.3800000000000006E-2</v>
      </c>
      <c r="S44" s="7">
        <f t="shared" si="9"/>
        <v>-0.48180000000000006</v>
      </c>
      <c r="X44" s="1"/>
      <c r="Y44" s="1"/>
    </row>
    <row r="45" spans="1:25" ht="15.75" customHeight="1" x14ac:dyDescent="0.25">
      <c r="A45" s="3">
        <v>3</v>
      </c>
      <c r="B45" s="3">
        <v>0</v>
      </c>
      <c r="C45" s="3">
        <v>0</v>
      </c>
      <c r="D45" s="3">
        <v>0</v>
      </c>
      <c r="E45" s="4">
        <v>0.48</v>
      </c>
      <c r="F45" s="4">
        <v>5.28</v>
      </c>
      <c r="G45" s="4">
        <v>1.35</v>
      </c>
      <c r="H45" s="3">
        <f t="shared" si="0"/>
        <v>0</v>
      </c>
      <c r="I45" s="3">
        <f t="shared" si="1"/>
        <v>5</v>
      </c>
      <c r="J45" s="4">
        <v>5.91</v>
      </c>
      <c r="K45" s="7">
        <f t="shared" si="2"/>
        <v>0.82810000000000028</v>
      </c>
      <c r="L45" s="7">
        <f t="shared" si="3"/>
        <v>92.205800000000011</v>
      </c>
      <c r="M45" s="7">
        <f t="shared" si="4"/>
        <v>-0.10920000000000002</v>
      </c>
      <c r="N45" s="7">
        <f t="shared" si="5"/>
        <v>-1.2012000000000003</v>
      </c>
      <c r="O45" s="7">
        <f t="shared" si="6"/>
        <v>-0.30712500000000009</v>
      </c>
      <c r="P45" s="3">
        <v>0.1</v>
      </c>
      <c r="Q45" s="7">
        <f t="shared" si="7"/>
        <v>1.0920000000000003E-2</v>
      </c>
      <c r="R45" s="7">
        <f t="shared" si="8"/>
        <v>0.12012000000000003</v>
      </c>
      <c r="S45" s="7">
        <f t="shared" si="9"/>
        <v>3.0712500000000011E-2</v>
      </c>
      <c r="X45" s="1"/>
      <c r="Y45" s="1"/>
    </row>
    <row r="46" spans="1:25" ht="15.75" customHeight="1" x14ac:dyDescent="0.25">
      <c r="A46" s="3">
        <v>4</v>
      </c>
      <c r="B46" s="3">
        <v>0</v>
      </c>
      <c r="C46" s="3">
        <v>0</v>
      </c>
      <c r="D46" s="3">
        <v>0</v>
      </c>
      <c r="E46" s="4">
        <v>5.28</v>
      </c>
      <c r="F46" s="4">
        <v>1.35</v>
      </c>
      <c r="G46" s="4">
        <v>5.91</v>
      </c>
      <c r="H46" s="3">
        <f t="shared" si="0"/>
        <v>0</v>
      </c>
      <c r="I46" s="3">
        <f t="shared" si="1"/>
        <v>5</v>
      </c>
      <c r="J46" s="4">
        <v>0.77</v>
      </c>
      <c r="K46" s="7">
        <f t="shared" si="2"/>
        <v>17.892900000000004</v>
      </c>
      <c r="L46" s="7">
        <f t="shared" si="3"/>
        <v>92.205800000000011</v>
      </c>
      <c r="M46" s="7">
        <f t="shared" si="4"/>
        <v>5.5836000000000006</v>
      </c>
      <c r="N46" s="7">
        <f t="shared" si="5"/>
        <v>1.4276250000000001</v>
      </c>
      <c r="O46" s="7">
        <f t="shared" si="6"/>
        <v>6.2498250000000004</v>
      </c>
      <c r="P46" s="3">
        <v>0.1</v>
      </c>
      <c r="Q46" s="7">
        <f t="shared" si="7"/>
        <v>-0.55836000000000008</v>
      </c>
      <c r="R46" s="7">
        <f t="shared" si="8"/>
        <v>-0.14276250000000001</v>
      </c>
      <c r="S46" s="7">
        <f t="shared" si="9"/>
        <v>-0.62498250000000011</v>
      </c>
      <c r="X46" s="1"/>
      <c r="Y46" s="1"/>
    </row>
    <row r="47" spans="1:25" ht="15.75" customHeight="1" x14ac:dyDescent="0.25">
      <c r="A47" s="3">
        <v>5</v>
      </c>
      <c r="B47" s="3">
        <v>0</v>
      </c>
      <c r="C47" s="3">
        <v>0</v>
      </c>
      <c r="D47" s="3">
        <v>0</v>
      </c>
      <c r="E47" s="4">
        <v>1.35</v>
      </c>
      <c r="F47" s="4">
        <v>5.91</v>
      </c>
      <c r="G47" s="4">
        <v>0.77</v>
      </c>
      <c r="H47" s="3">
        <f t="shared" si="0"/>
        <v>0</v>
      </c>
      <c r="I47" s="3">
        <f t="shared" si="1"/>
        <v>5</v>
      </c>
      <c r="J47" s="4">
        <v>5.25</v>
      </c>
      <c r="K47" s="7">
        <f t="shared" si="2"/>
        <v>6.25E-2</v>
      </c>
      <c r="L47" s="7">
        <f t="shared" si="3"/>
        <v>92.205800000000011</v>
      </c>
      <c r="M47" s="7">
        <f t="shared" si="4"/>
        <v>-8.4375000000000006E-2</v>
      </c>
      <c r="N47" s="7">
        <f t="shared" si="5"/>
        <v>-0.36937500000000001</v>
      </c>
      <c r="O47" s="7">
        <f t="shared" si="6"/>
        <v>-4.8125000000000001E-2</v>
      </c>
      <c r="P47" s="3">
        <v>0.1</v>
      </c>
      <c r="Q47" s="7">
        <f t="shared" si="7"/>
        <v>8.4375000000000006E-3</v>
      </c>
      <c r="R47" s="7">
        <f t="shared" si="8"/>
        <v>3.6937500000000005E-2</v>
      </c>
      <c r="S47" s="7">
        <f t="shared" si="9"/>
        <v>4.8125000000000008E-3</v>
      </c>
      <c r="X47" s="1"/>
      <c r="Y47" s="1"/>
    </row>
    <row r="48" spans="1:25" ht="15.75" customHeight="1" x14ac:dyDescent="0.25">
      <c r="A48" s="3">
        <v>6</v>
      </c>
      <c r="B48" s="3">
        <v>0</v>
      </c>
      <c r="C48" s="3">
        <v>0</v>
      </c>
      <c r="D48" s="3">
        <v>0</v>
      </c>
      <c r="E48" s="4">
        <v>5.91</v>
      </c>
      <c r="F48" s="4">
        <v>0.77</v>
      </c>
      <c r="G48" s="4">
        <v>5.25</v>
      </c>
      <c r="H48" s="3">
        <f t="shared" si="0"/>
        <v>0</v>
      </c>
      <c r="I48" s="3">
        <f t="shared" si="1"/>
        <v>5</v>
      </c>
      <c r="J48" s="4">
        <v>1.37</v>
      </c>
      <c r="K48" s="7">
        <f t="shared" si="2"/>
        <v>13.1769</v>
      </c>
      <c r="L48" s="7">
        <f t="shared" si="3"/>
        <v>92.205800000000011</v>
      </c>
      <c r="M48" s="7">
        <f t="shared" si="4"/>
        <v>5.3633249999999997</v>
      </c>
      <c r="N48" s="7">
        <f t="shared" si="5"/>
        <v>0.69877500000000003</v>
      </c>
      <c r="O48" s="7">
        <f t="shared" si="6"/>
        <v>4.7643750000000002</v>
      </c>
      <c r="P48" s="3">
        <v>0.1</v>
      </c>
      <c r="Q48" s="7">
        <f t="shared" si="7"/>
        <v>-0.53633249999999999</v>
      </c>
      <c r="R48" s="7">
        <f t="shared" si="8"/>
        <v>-6.9877500000000009E-2</v>
      </c>
      <c r="S48" s="7">
        <f t="shared" si="9"/>
        <v>-0.47643750000000007</v>
      </c>
      <c r="X48" s="1"/>
      <c r="Y48" s="1"/>
    </row>
    <row r="49" spans="1:25" ht="15.75" customHeight="1" x14ac:dyDescent="0.25">
      <c r="A49" s="3">
        <v>7</v>
      </c>
      <c r="B49" s="3">
        <v>0</v>
      </c>
      <c r="C49" s="3">
        <v>0</v>
      </c>
      <c r="D49" s="3">
        <v>0</v>
      </c>
      <c r="E49" s="4">
        <v>0.77</v>
      </c>
      <c r="F49" s="4">
        <v>5.25</v>
      </c>
      <c r="G49" s="4">
        <v>1.37</v>
      </c>
      <c r="H49" s="3">
        <f t="shared" si="0"/>
        <v>0</v>
      </c>
      <c r="I49" s="3">
        <f t="shared" si="1"/>
        <v>5</v>
      </c>
      <c r="J49" s="4">
        <v>4.42</v>
      </c>
      <c r="K49" s="7">
        <f t="shared" si="2"/>
        <v>0.33640000000000009</v>
      </c>
      <c r="L49" s="7">
        <f t="shared" si="3"/>
        <v>92.205800000000011</v>
      </c>
      <c r="M49" s="7">
        <f t="shared" si="4"/>
        <v>0.11165000000000001</v>
      </c>
      <c r="N49" s="7">
        <f t="shared" si="5"/>
        <v>0.76125000000000009</v>
      </c>
      <c r="O49" s="7">
        <f t="shared" si="6"/>
        <v>0.19865000000000005</v>
      </c>
      <c r="P49" s="3">
        <v>0.1</v>
      </c>
      <c r="Q49" s="7">
        <f t="shared" si="7"/>
        <v>-1.1165000000000001E-2</v>
      </c>
      <c r="R49" s="7">
        <f t="shared" si="8"/>
        <v>-7.6125000000000012E-2</v>
      </c>
      <c r="S49" s="7">
        <f t="shared" si="9"/>
        <v>-1.9865000000000008E-2</v>
      </c>
      <c r="X49" s="1"/>
      <c r="Y49" s="1"/>
    </row>
    <row r="50" spans="1:25" ht="15.75" customHeight="1" x14ac:dyDescent="0.25">
      <c r="A50" s="3">
        <v>8</v>
      </c>
      <c r="B50" s="3">
        <v>0</v>
      </c>
      <c r="C50" s="3">
        <v>0</v>
      </c>
      <c r="D50" s="3">
        <v>0</v>
      </c>
      <c r="E50" s="4">
        <v>5.25</v>
      </c>
      <c r="F50" s="4">
        <v>1.37</v>
      </c>
      <c r="G50" s="4">
        <v>4.42</v>
      </c>
      <c r="H50" s="3">
        <f t="shared" si="0"/>
        <v>0</v>
      </c>
      <c r="I50" s="3">
        <f t="shared" si="1"/>
        <v>5</v>
      </c>
      <c r="J50" s="4">
        <v>0.26</v>
      </c>
      <c r="K50" s="7">
        <f t="shared" si="2"/>
        <v>22.467600000000001</v>
      </c>
      <c r="L50" s="7">
        <f t="shared" si="3"/>
        <v>92.205800000000011</v>
      </c>
      <c r="M50" s="7">
        <f t="shared" si="4"/>
        <v>6.2212500000000004</v>
      </c>
      <c r="N50" s="7">
        <f t="shared" si="5"/>
        <v>1.6234500000000003</v>
      </c>
      <c r="O50" s="7">
        <f t="shared" si="6"/>
        <v>5.2377000000000002</v>
      </c>
      <c r="P50" s="3">
        <v>0.1</v>
      </c>
      <c r="Q50" s="7">
        <f t="shared" si="7"/>
        <v>-0.62212500000000004</v>
      </c>
      <c r="R50" s="7">
        <f t="shared" si="8"/>
        <v>-0.16234500000000004</v>
      </c>
      <c r="S50" s="7">
        <f t="shared" si="9"/>
        <v>-0.52377000000000007</v>
      </c>
      <c r="X50" s="1"/>
      <c r="Y50" s="1"/>
    </row>
    <row r="51" spans="1:25" ht="15.75" customHeight="1" x14ac:dyDescent="0.25">
      <c r="A51" s="3">
        <v>9</v>
      </c>
      <c r="B51" s="3">
        <v>0</v>
      </c>
      <c r="C51" s="3">
        <v>0</v>
      </c>
      <c r="D51" s="3">
        <v>0</v>
      </c>
      <c r="E51" s="4">
        <v>1.37</v>
      </c>
      <c r="F51" s="4">
        <v>4.42</v>
      </c>
      <c r="G51" s="4">
        <v>0.26</v>
      </c>
      <c r="H51" s="3">
        <f t="shared" si="0"/>
        <v>0</v>
      </c>
      <c r="I51" s="3">
        <f t="shared" si="1"/>
        <v>5</v>
      </c>
      <c r="J51" s="4">
        <v>4.21</v>
      </c>
      <c r="K51" s="7">
        <f t="shared" si="2"/>
        <v>0.6241000000000001</v>
      </c>
      <c r="L51" s="7">
        <f t="shared" si="3"/>
        <v>92.205800000000011</v>
      </c>
      <c r="M51" s="7">
        <f t="shared" si="4"/>
        <v>0.27057500000000001</v>
      </c>
      <c r="N51" s="7">
        <f t="shared" si="5"/>
        <v>0.87295</v>
      </c>
      <c r="O51" s="7">
        <f t="shared" si="6"/>
        <v>5.1350000000000007E-2</v>
      </c>
      <c r="P51" s="3">
        <v>0.1</v>
      </c>
      <c r="Q51" s="7">
        <f t="shared" si="7"/>
        <v>-2.7057500000000002E-2</v>
      </c>
      <c r="R51" s="7">
        <f t="shared" si="8"/>
        <v>-8.7295000000000011E-2</v>
      </c>
      <c r="S51" s="7">
        <f t="shared" si="9"/>
        <v>-5.1350000000000007E-3</v>
      </c>
      <c r="X51" s="1"/>
      <c r="Y51" s="1"/>
    </row>
    <row r="52" spans="1:25" ht="15.75" customHeight="1" x14ac:dyDescent="0.25">
      <c r="A52" s="3">
        <v>10</v>
      </c>
      <c r="B52" s="3">
        <v>0</v>
      </c>
      <c r="C52" s="3">
        <v>0</v>
      </c>
      <c r="D52" s="3">
        <v>0</v>
      </c>
      <c r="E52" s="4">
        <v>4.42</v>
      </c>
      <c r="F52" s="4">
        <v>0.26</v>
      </c>
      <c r="G52" s="4">
        <v>4.21</v>
      </c>
      <c r="H52" s="3">
        <f t="shared" si="0"/>
        <v>0</v>
      </c>
      <c r="I52" s="3">
        <f t="shared" si="1"/>
        <v>5</v>
      </c>
      <c r="J52" s="4">
        <v>1.9</v>
      </c>
      <c r="K52" s="7">
        <f t="shared" si="2"/>
        <v>9.6100000000000012</v>
      </c>
      <c r="L52" s="7">
        <f t="shared" si="3"/>
        <v>92.205800000000011</v>
      </c>
      <c r="M52" s="7">
        <f t="shared" si="4"/>
        <v>3.4255</v>
      </c>
      <c r="N52" s="7">
        <f t="shared" si="5"/>
        <v>0.20150000000000001</v>
      </c>
      <c r="O52" s="7">
        <f t="shared" si="6"/>
        <v>3.26275</v>
      </c>
      <c r="P52" s="3">
        <v>0.1</v>
      </c>
      <c r="Q52" s="7">
        <f t="shared" si="7"/>
        <v>-0.34255000000000002</v>
      </c>
      <c r="R52" s="7">
        <f t="shared" si="8"/>
        <v>-2.0150000000000001E-2</v>
      </c>
      <c r="S52" s="7">
        <f t="shared" si="9"/>
        <v>-0.32627500000000004</v>
      </c>
      <c r="X52" s="1"/>
      <c r="Y52" s="1"/>
    </row>
    <row r="53" spans="1:25" ht="15.75" customHeight="1" x14ac:dyDescent="0.25">
      <c r="A53" s="3">
        <v>11</v>
      </c>
      <c r="B53" s="3">
        <v>0</v>
      </c>
      <c r="C53" s="3">
        <v>0</v>
      </c>
      <c r="D53" s="3">
        <v>0</v>
      </c>
      <c r="E53" s="4">
        <v>0.26</v>
      </c>
      <c r="F53" s="4">
        <v>4.21</v>
      </c>
      <c r="G53" s="4">
        <v>1.9</v>
      </c>
      <c r="H53" s="3">
        <f t="shared" si="0"/>
        <v>0</v>
      </c>
      <c r="I53" s="3">
        <f t="shared" si="1"/>
        <v>5</v>
      </c>
      <c r="J53" s="4">
        <v>4.08</v>
      </c>
      <c r="K53" s="7">
        <f t="shared" si="2"/>
        <v>0.84639999999999982</v>
      </c>
      <c r="L53" s="7">
        <f t="shared" si="3"/>
        <v>92.205800000000011</v>
      </c>
      <c r="M53" s="7">
        <f t="shared" si="4"/>
        <v>5.9799999999999999E-2</v>
      </c>
      <c r="N53" s="7">
        <f t="shared" si="5"/>
        <v>0.96829999999999994</v>
      </c>
      <c r="O53" s="7">
        <f t="shared" si="6"/>
        <v>0.43699999999999994</v>
      </c>
      <c r="P53" s="3">
        <v>0.1</v>
      </c>
      <c r="Q53" s="7">
        <f t="shared" si="7"/>
        <v>-5.9800000000000001E-3</v>
      </c>
      <c r="R53" s="7">
        <f t="shared" si="8"/>
        <v>-9.6829999999999999E-2</v>
      </c>
      <c r="S53" s="7">
        <f t="shared" si="9"/>
        <v>-4.3699999999999996E-2</v>
      </c>
      <c r="X53" s="1"/>
      <c r="Y53" s="1"/>
    </row>
    <row r="54" spans="1:25" ht="15.75" customHeight="1" x14ac:dyDescent="0.25">
      <c r="A54" s="3">
        <v>12</v>
      </c>
      <c r="B54" s="3">
        <v>0</v>
      </c>
      <c r="C54" s="3">
        <v>0</v>
      </c>
      <c r="D54" s="3">
        <v>0</v>
      </c>
      <c r="E54" s="4">
        <v>4.21</v>
      </c>
      <c r="F54" s="4">
        <v>1.9</v>
      </c>
      <c r="G54" s="4">
        <v>4.08</v>
      </c>
      <c r="H54" s="3">
        <f t="shared" si="0"/>
        <v>0</v>
      </c>
      <c r="I54" s="3">
        <f t="shared" si="1"/>
        <v>5</v>
      </c>
      <c r="J54" s="4">
        <v>1.4</v>
      </c>
      <c r="K54" s="7">
        <f t="shared" si="2"/>
        <v>12.96</v>
      </c>
      <c r="L54" s="7">
        <f t="shared" si="3"/>
        <v>92.205800000000011</v>
      </c>
      <c r="M54" s="7">
        <f t="shared" si="4"/>
        <v>3.7890000000000001</v>
      </c>
      <c r="N54" s="7">
        <f t="shared" si="5"/>
        <v>1.71</v>
      </c>
      <c r="O54" s="7">
        <f t="shared" si="6"/>
        <v>3.6720000000000002</v>
      </c>
      <c r="P54" s="3">
        <v>0.1</v>
      </c>
      <c r="Q54" s="7">
        <f t="shared" si="7"/>
        <v>-0.37890000000000001</v>
      </c>
      <c r="R54" s="7">
        <f t="shared" si="8"/>
        <v>-0.17100000000000001</v>
      </c>
      <c r="S54" s="7">
        <f t="shared" si="9"/>
        <v>-0.36720000000000003</v>
      </c>
    </row>
    <row r="55" spans="1:25" ht="15.75" customHeight="1" x14ac:dyDescent="0.25">
      <c r="Q55" s="7">
        <f t="shared" ref="Q55:S55" si="10">SUM(Q43:Q54)/$A$54</f>
        <v>-0.24790375000000001</v>
      </c>
      <c r="R55" s="7">
        <f t="shared" si="10"/>
        <v>-5.6084791666666668E-2</v>
      </c>
      <c r="S55" s="7">
        <f t="shared" si="10"/>
        <v>-0.23585666666666669</v>
      </c>
      <c r="T55" s="2" t="s">
        <v>61</v>
      </c>
    </row>
    <row r="56" spans="1:25" ht="15.75" customHeight="1" x14ac:dyDescent="0.2"/>
    <row r="57" spans="1:25" ht="15.75" customHeight="1" x14ac:dyDescent="0.25">
      <c r="A57" s="3">
        <v>1</v>
      </c>
      <c r="B57" s="7">
        <f t="shared" ref="B57:B68" si="11">B43+$Q$55</f>
        <v>-0.24790375000000001</v>
      </c>
      <c r="C57" s="7">
        <f t="shared" ref="C57:C68" si="12">C43+$R$55</f>
        <v>-5.6084791666666668E-2</v>
      </c>
      <c r="D57" s="7">
        <f t="shared" ref="D57:D68" si="13">D43+$S$55</f>
        <v>-0.23585666666666669</v>
      </c>
      <c r="E57" s="4">
        <v>1.59</v>
      </c>
      <c r="F57" s="4">
        <v>5.73</v>
      </c>
      <c r="G57" s="4">
        <v>0.48</v>
      </c>
      <c r="H57" s="7">
        <f t="shared" ref="H57:H68" si="14">B57*E57+C57*F57+G57*D57</f>
        <v>-0.82874401875000014</v>
      </c>
      <c r="I57" s="7">
        <f t="shared" ref="I57:I68" si="15">1/(1+EXP(-H57))*10</f>
        <v>3.0391070628269823</v>
      </c>
      <c r="J57" s="4">
        <v>5.28</v>
      </c>
      <c r="K57" s="7">
        <f t="shared" ref="K57:K68" si="16">(I57-J57)^2</f>
        <v>5.0216011558719158</v>
      </c>
      <c r="L57" s="7">
        <f t="shared" ref="L57:L68" si="17">SUM($K$57:$K$68)</f>
        <v>22.551387432051587</v>
      </c>
      <c r="M57" s="7">
        <f t="shared" ref="M57:M68" si="18">(I57-J57)*(EXP(-H57))/(1+EXP(-H57))^2*E57</f>
        <v>-0.75375322975885339</v>
      </c>
      <c r="N57" s="7">
        <f t="shared" ref="N57:N68" si="19">(I57-J57)*(EXP(-H57))/(1+EXP(-H57))^2*F57</f>
        <v>-2.7163559789422833</v>
      </c>
      <c r="O57" s="7">
        <f t="shared" ref="O57:O68" si="20">(I57-J57)*(EXP(-H57))/(1+EXP(-H57))^2*G57</f>
        <v>-0.2275481448328614</v>
      </c>
      <c r="P57" s="3">
        <v>0.1</v>
      </c>
      <c r="Q57" s="7">
        <f t="shared" ref="Q57:Q68" si="21">P57*M57*(-1)</f>
        <v>7.5375322975885339E-2</v>
      </c>
      <c r="R57" s="7">
        <f t="shared" ref="R57:R68" si="22">P57*N57*(-1)</f>
        <v>0.27163559789422836</v>
      </c>
      <c r="S57" s="7">
        <f t="shared" ref="S57:S68" si="23">P57*O57*(-1)</f>
        <v>2.2754814483286142E-2</v>
      </c>
      <c r="U57" s="2">
        <f>L43-L57</f>
        <v>69.654412567948427</v>
      </c>
    </row>
    <row r="58" spans="1:25" ht="15.75" customHeight="1" x14ac:dyDescent="0.25">
      <c r="A58" s="3">
        <v>2</v>
      </c>
      <c r="B58" s="7">
        <f t="shared" si="11"/>
        <v>-0.24790375000000001</v>
      </c>
      <c r="C58" s="7">
        <f t="shared" si="12"/>
        <v>-5.6084791666666668E-2</v>
      </c>
      <c r="D58" s="7">
        <f t="shared" si="13"/>
        <v>-0.23585666666666669</v>
      </c>
      <c r="E58" s="4">
        <v>5.73</v>
      </c>
      <c r="F58" s="4">
        <v>0.48</v>
      </c>
      <c r="G58" s="4">
        <v>5.28</v>
      </c>
      <c r="H58" s="7">
        <f t="shared" si="14"/>
        <v>-2.6927323875000004</v>
      </c>
      <c r="I58" s="7">
        <f t="shared" si="15"/>
        <v>0.63403565758638758</v>
      </c>
      <c r="J58" s="4">
        <v>1.35</v>
      </c>
      <c r="K58" s="7">
        <f t="shared" si="16"/>
        <v>0.51260493960775655</v>
      </c>
      <c r="L58" s="7">
        <f t="shared" si="17"/>
        <v>22.551387432051587</v>
      </c>
      <c r="M58" s="7">
        <f t="shared" si="18"/>
        <v>-0.24361958458823199</v>
      </c>
      <c r="N58" s="7">
        <f t="shared" si="19"/>
        <v>-2.0407923316291682E-2</v>
      </c>
      <c r="O58" s="7">
        <f t="shared" si="20"/>
        <v>-0.22448715647920853</v>
      </c>
      <c r="P58" s="3">
        <v>0.1</v>
      </c>
      <c r="Q58" s="7">
        <f t="shared" si="21"/>
        <v>2.4361958458823201E-2</v>
      </c>
      <c r="R58" s="7">
        <f t="shared" si="22"/>
        <v>2.0407923316291682E-3</v>
      </c>
      <c r="S58" s="7">
        <f t="shared" si="23"/>
        <v>2.2448715647920853E-2</v>
      </c>
    </row>
    <row r="59" spans="1:25" ht="15.75" customHeight="1" x14ac:dyDescent="0.25">
      <c r="A59" s="3">
        <v>3</v>
      </c>
      <c r="B59" s="7">
        <f t="shared" si="11"/>
        <v>-0.24790375000000001</v>
      </c>
      <c r="C59" s="7">
        <f t="shared" si="12"/>
        <v>-5.6084791666666668E-2</v>
      </c>
      <c r="D59" s="7">
        <f t="shared" si="13"/>
        <v>-0.23585666666666669</v>
      </c>
      <c r="E59" s="4">
        <v>0.48</v>
      </c>
      <c r="F59" s="4">
        <v>5.28</v>
      </c>
      <c r="G59" s="4">
        <v>1.35</v>
      </c>
      <c r="H59" s="7">
        <f t="shared" si="14"/>
        <v>-0.73352800000000007</v>
      </c>
      <c r="I59" s="7">
        <f t="shared" si="15"/>
        <v>3.2442101006612307</v>
      </c>
      <c r="J59" s="4">
        <v>5.91</v>
      </c>
      <c r="K59" s="7">
        <f t="shared" si="16"/>
        <v>7.106435787416606</v>
      </c>
      <c r="L59" s="7">
        <f t="shared" si="17"/>
        <v>22.551387432051587</v>
      </c>
      <c r="M59" s="7">
        <f t="shared" si="18"/>
        <v>-0.28044794524094535</v>
      </c>
      <c r="N59" s="7">
        <f t="shared" si="19"/>
        <v>-3.0849273976503988</v>
      </c>
      <c r="O59" s="7">
        <f t="shared" si="20"/>
        <v>-0.7887598459901588</v>
      </c>
      <c r="P59" s="3">
        <v>0.1</v>
      </c>
      <c r="Q59" s="7">
        <f t="shared" si="21"/>
        <v>2.8044794524094536E-2</v>
      </c>
      <c r="R59" s="7">
        <f t="shared" si="22"/>
        <v>0.30849273976503988</v>
      </c>
      <c r="S59" s="7">
        <f t="shared" si="23"/>
        <v>7.8875984599015889E-2</v>
      </c>
    </row>
    <row r="60" spans="1:25" ht="15.75" customHeight="1" x14ac:dyDescent="0.25">
      <c r="A60" s="3">
        <v>4</v>
      </c>
      <c r="B60" s="7">
        <f t="shared" si="11"/>
        <v>-0.24790375000000001</v>
      </c>
      <c r="C60" s="7">
        <f t="shared" si="12"/>
        <v>-5.6084791666666668E-2</v>
      </c>
      <c r="D60" s="7">
        <f t="shared" si="13"/>
        <v>-0.23585666666666669</v>
      </c>
      <c r="E60" s="4">
        <v>5.28</v>
      </c>
      <c r="F60" s="4">
        <v>1.35</v>
      </c>
      <c r="G60" s="4">
        <v>5.91</v>
      </c>
      <c r="H60" s="7">
        <f t="shared" si="14"/>
        <v>-2.7785591687500002</v>
      </c>
      <c r="I60" s="7">
        <f t="shared" si="15"/>
        <v>0.58493855008779616</v>
      </c>
      <c r="J60" s="4">
        <v>0.77</v>
      </c>
      <c r="K60" s="7">
        <f t="shared" si="16"/>
        <v>3.424774024360714E-2</v>
      </c>
      <c r="L60" s="7">
        <f t="shared" si="17"/>
        <v>22.551387432051587</v>
      </c>
      <c r="M60" s="7">
        <f t="shared" si="18"/>
        <v>-5.3812514540104807E-2</v>
      </c>
      <c r="N60" s="7">
        <f t="shared" si="19"/>
        <v>-1.3758881558549525E-2</v>
      </c>
      <c r="O60" s="7">
        <f t="shared" si="20"/>
        <v>-6.0233325934094584E-2</v>
      </c>
      <c r="P60" s="3">
        <v>0.1</v>
      </c>
      <c r="Q60" s="7">
        <f t="shared" si="21"/>
        <v>5.3812514540104812E-3</v>
      </c>
      <c r="R60" s="7">
        <f t="shared" si="22"/>
        <v>1.3758881558549527E-3</v>
      </c>
      <c r="S60" s="7">
        <f t="shared" si="23"/>
        <v>6.0233325934094589E-3</v>
      </c>
    </row>
    <row r="61" spans="1:25" ht="15.75" customHeight="1" x14ac:dyDescent="0.25">
      <c r="A61" s="3">
        <v>5</v>
      </c>
      <c r="B61" s="7">
        <f t="shared" si="11"/>
        <v>-0.24790375000000001</v>
      </c>
      <c r="C61" s="7">
        <f t="shared" si="12"/>
        <v>-5.6084791666666668E-2</v>
      </c>
      <c r="D61" s="7">
        <f t="shared" si="13"/>
        <v>-0.23585666666666669</v>
      </c>
      <c r="E61" s="4">
        <v>1.35</v>
      </c>
      <c r="F61" s="4">
        <v>5.91</v>
      </c>
      <c r="G61" s="4">
        <v>0.77</v>
      </c>
      <c r="H61" s="7">
        <f t="shared" si="14"/>
        <v>-0.84774081458333339</v>
      </c>
      <c r="I61" s="7">
        <f t="shared" si="15"/>
        <v>2.9990698786035708</v>
      </c>
      <c r="J61" s="4">
        <v>5.25</v>
      </c>
      <c r="K61" s="7">
        <f t="shared" si="16"/>
        <v>5.0666864114097434</v>
      </c>
      <c r="L61" s="7">
        <f t="shared" si="17"/>
        <v>22.551387432051587</v>
      </c>
      <c r="M61" s="7">
        <f t="shared" si="18"/>
        <v>-0.63802560666036801</v>
      </c>
      <c r="N61" s="7">
        <f t="shared" si="19"/>
        <v>-2.7931343224909444</v>
      </c>
      <c r="O61" s="7">
        <f t="shared" si="20"/>
        <v>-0.36391090157665434</v>
      </c>
      <c r="P61" s="3">
        <v>0.1</v>
      </c>
      <c r="Q61" s="7">
        <f t="shared" si="21"/>
        <v>6.3802560666036803E-2</v>
      </c>
      <c r="R61" s="7">
        <f t="shared" si="22"/>
        <v>0.27931343224909444</v>
      </c>
      <c r="S61" s="7">
        <f t="shared" si="23"/>
        <v>3.6391090157665437E-2</v>
      </c>
    </row>
    <row r="62" spans="1:25" ht="15.75" customHeight="1" x14ac:dyDescent="0.25">
      <c r="A62" s="3">
        <v>6</v>
      </c>
      <c r="B62" s="7">
        <f t="shared" si="11"/>
        <v>-0.24790375000000001</v>
      </c>
      <c r="C62" s="7">
        <f t="shared" si="12"/>
        <v>-5.6084791666666668E-2</v>
      </c>
      <c r="D62" s="7">
        <f t="shared" si="13"/>
        <v>-0.23585666666666669</v>
      </c>
      <c r="E62" s="4">
        <v>5.91</v>
      </c>
      <c r="F62" s="4">
        <v>0.77</v>
      </c>
      <c r="G62" s="4">
        <v>5.25</v>
      </c>
      <c r="H62" s="7">
        <f t="shared" si="14"/>
        <v>-2.7465439520833339</v>
      </c>
      <c r="I62" s="7">
        <f t="shared" si="15"/>
        <v>0.60282131789825344</v>
      </c>
      <c r="J62" s="4">
        <v>1.37</v>
      </c>
      <c r="K62" s="7">
        <f t="shared" si="16"/>
        <v>0.58856313027137286</v>
      </c>
      <c r="L62" s="7">
        <f t="shared" si="17"/>
        <v>22.551387432051587</v>
      </c>
      <c r="M62" s="7">
        <f t="shared" si="18"/>
        <v>-0.25684439586072888</v>
      </c>
      <c r="N62" s="7">
        <f t="shared" si="19"/>
        <v>-3.3463652252582271E-2</v>
      </c>
      <c r="O62" s="7">
        <f t="shared" si="20"/>
        <v>-0.2281612653585155</v>
      </c>
      <c r="P62" s="3">
        <v>0.1</v>
      </c>
      <c r="Q62" s="7">
        <f t="shared" si="21"/>
        <v>2.5684439586072888E-2</v>
      </c>
      <c r="R62" s="7">
        <f t="shared" si="22"/>
        <v>3.3463652252582275E-3</v>
      </c>
      <c r="S62" s="7">
        <f t="shared" si="23"/>
        <v>2.281612653585155E-2</v>
      </c>
    </row>
    <row r="63" spans="1:25" ht="15.75" customHeight="1" x14ac:dyDescent="0.25">
      <c r="A63" s="3">
        <v>7</v>
      </c>
      <c r="B63" s="7">
        <f t="shared" si="11"/>
        <v>-0.24790375000000001</v>
      </c>
      <c r="C63" s="7">
        <f t="shared" si="12"/>
        <v>-5.6084791666666668E-2</v>
      </c>
      <c r="D63" s="7">
        <f t="shared" si="13"/>
        <v>-0.23585666666666669</v>
      </c>
      <c r="E63" s="4">
        <v>0.77</v>
      </c>
      <c r="F63" s="4">
        <v>5.25</v>
      </c>
      <c r="G63" s="4">
        <v>1.37</v>
      </c>
      <c r="H63" s="7">
        <f t="shared" si="14"/>
        <v>-0.80845467708333341</v>
      </c>
      <c r="I63" s="7">
        <f t="shared" si="15"/>
        <v>3.0821989236739791</v>
      </c>
      <c r="J63" s="4">
        <v>4.42</v>
      </c>
      <c r="K63" s="7">
        <f t="shared" si="16"/>
        <v>1.78971171981906</v>
      </c>
      <c r="L63" s="7">
        <f t="shared" si="17"/>
        <v>22.551387432051587</v>
      </c>
      <c r="M63" s="7">
        <f t="shared" si="18"/>
        <v>-0.21963978009817769</v>
      </c>
      <c r="N63" s="7">
        <f t="shared" si="19"/>
        <v>-1.497543955214848</v>
      </c>
      <c r="O63" s="7">
        <f t="shared" si="20"/>
        <v>-0.39078766069416032</v>
      </c>
      <c r="P63" s="3">
        <v>0.1</v>
      </c>
      <c r="Q63" s="7">
        <f t="shared" si="21"/>
        <v>2.196397800981777E-2</v>
      </c>
      <c r="R63" s="7">
        <f t="shared" si="22"/>
        <v>0.14975439552148481</v>
      </c>
      <c r="S63" s="7">
        <f t="shared" si="23"/>
        <v>3.9078766069416036E-2</v>
      </c>
    </row>
    <row r="64" spans="1:25" ht="15.75" customHeight="1" x14ac:dyDescent="0.25">
      <c r="A64" s="3">
        <v>8</v>
      </c>
      <c r="B64" s="7">
        <f t="shared" si="11"/>
        <v>-0.24790375000000001</v>
      </c>
      <c r="C64" s="7">
        <f t="shared" si="12"/>
        <v>-5.6084791666666668E-2</v>
      </c>
      <c r="D64" s="7">
        <f t="shared" si="13"/>
        <v>-0.23585666666666669</v>
      </c>
      <c r="E64" s="4">
        <v>5.25</v>
      </c>
      <c r="F64" s="4">
        <v>1.37</v>
      </c>
      <c r="G64" s="4">
        <v>4.42</v>
      </c>
      <c r="H64" s="7">
        <f t="shared" si="14"/>
        <v>-2.4208173187500002</v>
      </c>
      <c r="I64" s="7">
        <f t="shared" si="15"/>
        <v>0.8159898416294421</v>
      </c>
      <c r="J64" s="4">
        <v>0.26</v>
      </c>
      <c r="K64" s="7">
        <f t="shared" si="16"/>
        <v>0.30912470399513209</v>
      </c>
      <c r="L64" s="7">
        <f t="shared" si="17"/>
        <v>22.551387432051587</v>
      </c>
      <c r="M64" s="7">
        <f t="shared" si="18"/>
        <v>0.21874758536390812</v>
      </c>
      <c r="N64" s="7">
        <f t="shared" si="19"/>
        <v>5.7082703228296033E-2</v>
      </c>
      <c r="O64" s="7">
        <f t="shared" si="20"/>
        <v>0.18416463377304265</v>
      </c>
      <c r="P64" s="3">
        <v>0.1</v>
      </c>
      <c r="Q64" s="7">
        <f t="shared" si="21"/>
        <v>-2.1874758536390815E-2</v>
      </c>
      <c r="R64" s="7">
        <f t="shared" si="22"/>
        <v>-5.7082703228296039E-3</v>
      </c>
      <c r="S64" s="7">
        <f t="shared" si="23"/>
        <v>-1.8416463377304265E-2</v>
      </c>
    </row>
    <row r="65" spans="1:19" ht="15.75" customHeight="1" x14ac:dyDescent="0.25">
      <c r="A65" s="3">
        <v>9</v>
      </c>
      <c r="B65" s="7">
        <f t="shared" si="11"/>
        <v>-0.24790375000000001</v>
      </c>
      <c r="C65" s="7">
        <f t="shared" si="12"/>
        <v>-5.6084791666666668E-2</v>
      </c>
      <c r="D65" s="7">
        <f t="shared" si="13"/>
        <v>-0.23585666666666669</v>
      </c>
      <c r="E65" s="4">
        <v>1.37</v>
      </c>
      <c r="F65" s="4">
        <v>4.42</v>
      </c>
      <c r="G65" s="4">
        <v>0.26</v>
      </c>
      <c r="H65" s="7">
        <f t="shared" si="14"/>
        <v>-0.64884565000000005</v>
      </c>
      <c r="I65" s="7">
        <f t="shared" si="15"/>
        <v>3.4324971458780635</v>
      </c>
      <c r="J65" s="4">
        <v>4.21</v>
      </c>
      <c r="K65" s="7">
        <f t="shared" si="16"/>
        <v>0.6045106881677571</v>
      </c>
      <c r="L65" s="7">
        <f t="shared" si="17"/>
        <v>22.551387432051587</v>
      </c>
      <c r="M65" s="7">
        <f t="shared" si="18"/>
        <v>-0.24012258724250846</v>
      </c>
      <c r="N65" s="7">
        <f t="shared" si="19"/>
        <v>-0.77470206978969869</v>
      </c>
      <c r="O65" s="7">
        <f t="shared" si="20"/>
        <v>-4.557070998762934E-2</v>
      </c>
      <c r="P65" s="3">
        <v>0.1</v>
      </c>
      <c r="Q65" s="7">
        <f t="shared" si="21"/>
        <v>2.4012258724250848E-2</v>
      </c>
      <c r="R65" s="7">
        <f t="shared" si="22"/>
        <v>7.7470206978969877E-2</v>
      </c>
      <c r="S65" s="7">
        <f t="shared" si="23"/>
        <v>4.5570709987629342E-3</v>
      </c>
    </row>
    <row r="66" spans="1:19" ht="15.75" customHeight="1" x14ac:dyDescent="0.25">
      <c r="A66" s="3">
        <v>10</v>
      </c>
      <c r="B66" s="7">
        <f t="shared" si="11"/>
        <v>-0.24790375000000001</v>
      </c>
      <c r="C66" s="7">
        <f t="shared" si="12"/>
        <v>-5.6084791666666668E-2</v>
      </c>
      <c r="D66" s="7">
        <f t="shared" si="13"/>
        <v>-0.23585666666666669</v>
      </c>
      <c r="E66" s="4">
        <v>4.42</v>
      </c>
      <c r="F66" s="4">
        <v>0.26</v>
      </c>
      <c r="G66" s="4">
        <v>4.21</v>
      </c>
      <c r="H66" s="7">
        <f t="shared" si="14"/>
        <v>-2.1032731875000001</v>
      </c>
      <c r="I66" s="7">
        <f t="shared" si="15"/>
        <v>1.0877909152139356</v>
      </c>
      <c r="J66" s="4">
        <v>1.9</v>
      </c>
      <c r="K66" s="7">
        <f t="shared" si="16"/>
        <v>0.65968359740901628</v>
      </c>
      <c r="L66" s="7">
        <f t="shared" si="17"/>
        <v>22.551387432051587</v>
      </c>
      <c r="M66" s="7">
        <f t="shared" si="18"/>
        <v>-0.34803338570095793</v>
      </c>
      <c r="N66" s="7">
        <f t="shared" si="19"/>
        <v>-2.047255210005635E-2</v>
      </c>
      <c r="O66" s="7">
        <f t="shared" si="20"/>
        <v>-0.33149786285091243</v>
      </c>
      <c r="P66" s="3">
        <v>0.1</v>
      </c>
      <c r="Q66" s="7">
        <f t="shared" si="21"/>
        <v>3.4803338570095793E-2</v>
      </c>
      <c r="R66" s="7">
        <f t="shared" si="22"/>
        <v>2.0472552100056353E-3</v>
      </c>
      <c r="S66" s="7">
        <f t="shared" si="23"/>
        <v>3.3149786285091243E-2</v>
      </c>
    </row>
    <row r="67" spans="1:19" ht="15.75" customHeight="1" x14ac:dyDescent="0.25">
      <c r="A67" s="3">
        <v>11</v>
      </c>
      <c r="B67" s="7">
        <f t="shared" si="11"/>
        <v>-0.24790375000000001</v>
      </c>
      <c r="C67" s="7">
        <f t="shared" si="12"/>
        <v>-5.6084791666666668E-2</v>
      </c>
      <c r="D67" s="7">
        <f t="shared" si="13"/>
        <v>-0.23585666666666669</v>
      </c>
      <c r="E67" s="4">
        <v>0.26</v>
      </c>
      <c r="F67" s="4">
        <v>4.21</v>
      </c>
      <c r="G67" s="4">
        <v>1.9</v>
      </c>
      <c r="H67" s="7">
        <f t="shared" si="14"/>
        <v>-0.74869961458333334</v>
      </c>
      <c r="I67" s="7">
        <f t="shared" si="15"/>
        <v>3.211047142926474</v>
      </c>
      <c r="J67" s="4">
        <v>4.08</v>
      </c>
      <c r="K67" s="7">
        <f t="shared" si="16"/>
        <v>0.7550790678162439</v>
      </c>
      <c r="L67" s="7">
        <f t="shared" si="17"/>
        <v>22.551387432051587</v>
      </c>
      <c r="M67" s="7">
        <f t="shared" si="18"/>
        <v>-4.9251451939388124E-2</v>
      </c>
      <c r="N67" s="7">
        <f t="shared" si="19"/>
        <v>-0.79749466409547698</v>
      </c>
      <c r="O67" s="7">
        <f t="shared" si="20"/>
        <v>-0.35991445648014397</v>
      </c>
      <c r="P67" s="3">
        <v>0.1</v>
      </c>
      <c r="Q67" s="7">
        <f t="shared" si="21"/>
        <v>4.9251451939388126E-3</v>
      </c>
      <c r="R67" s="7">
        <f t="shared" si="22"/>
        <v>7.9749466409547706E-2</v>
      </c>
      <c r="S67" s="7">
        <f t="shared" si="23"/>
        <v>3.5991445648014396E-2</v>
      </c>
    </row>
    <row r="68" spans="1:19" ht="15.75" customHeight="1" x14ac:dyDescent="0.25">
      <c r="A68" s="3">
        <v>12</v>
      </c>
      <c r="B68" s="7">
        <f t="shared" si="11"/>
        <v>-0.24790375000000001</v>
      </c>
      <c r="C68" s="7">
        <f t="shared" si="12"/>
        <v>-5.6084791666666668E-2</v>
      </c>
      <c r="D68" s="7">
        <f t="shared" si="13"/>
        <v>-0.23585666666666669</v>
      </c>
      <c r="E68" s="4">
        <v>4.21</v>
      </c>
      <c r="F68" s="4">
        <v>1.9</v>
      </c>
      <c r="G68" s="4">
        <v>4.08</v>
      </c>
      <c r="H68" s="7">
        <f t="shared" si="14"/>
        <v>-2.1125310916666669</v>
      </c>
      <c r="I68" s="7">
        <f t="shared" si="15"/>
        <v>1.0788481822823113</v>
      </c>
      <c r="J68" s="4">
        <v>1.4</v>
      </c>
      <c r="K68" s="7">
        <f t="shared" si="16"/>
        <v>0.10313849002337551</v>
      </c>
      <c r="L68" s="7">
        <f t="shared" si="17"/>
        <v>22.551387432051587</v>
      </c>
      <c r="M68" s="7">
        <f t="shared" si="18"/>
        <v>-0.13012889579577058</v>
      </c>
      <c r="N68" s="7">
        <f t="shared" si="19"/>
        <v>-5.8728005228495035E-2</v>
      </c>
      <c r="O68" s="7">
        <f t="shared" si="20"/>
        <v>-0.12611066385908409</v>
      </c>
      <c r="P68" s="3">
        <v>0.1</v>
      </c>
      <c r="Q68" s="7">
        <f t="shared" si="21"/>
        <v>1.301288957957706E-2</v>
      </c>
      <c r="R68" s="7">
        <f t="shared" si="22"/>
        <v>5.8728005228495042E-3</v>
      </c>
      <c r="S68" s="7">
        <f t="shared" si="23"/>
        <v>1.261106638590841E-2</v>
      </c>
    </row>
    <row r="69" spans="1:19" ht="15.75" customHeight="1" x14ac:dyDescent="0.25">
      <c r="Q69" s="7">
        <f t="shared" ref="Q69:S69" si="24">SUM(Q57:Q68)</f>
        <v>0.29949317920621271</v>
      </c>
      <c r="R69" s="7">
        <f t="shared" si="24"/>
        <v>1.1753906699411332</v>
      </c>
      <c r="S69" s="7">
        <f t="shared" si="24"/>
        <v>0.29628173602703806</v>
      </c>
    </row>
    <row r="70" spans="1:19" ht="15.75" customHeight="1" x14ac:dyDescent="0.2"/>
    <row r="71" spans="1:19" ht="15.75" customHeight="1" x14ac:dyDescent="0.2"/>
    <row r="72" spans="1:19" ht="15.75" customHeight="1" x14ac:dyDescent="0.2"/>
    <row r="73" spans="1:19" ht="15.75" customHeight="1" x14ac:dyDescent="0.2"/>
    <row r="74" spans="1:19" ht="15.75" customHeight="1" x14ac:dyDescent="0.2"/>
    <row r="75" spans="1:19" ht="15.75" customHeight="1" x14ac:dyDescent="0.2"/>
    <row r="76" spans="1:19" ht="15.75" customHeight="1" x14ac:dyDescent="0.2"/>
    <row r="77" spans="1:19" ht="15.75" customHeight="1" x14ac:dyDescent="0.2"/>
    <row r="78" spans="1:19" ht="15.75" customHeight="1" x14ac:dyDescent="0.2"/>
    <row r="79" spans="1:19" ht="15.75" customHeight="1" x14ac:dyDescent="0.2"/>
    <row r="80" spans="1:19" ht="15.75" customHeight="1" x14ac:dyDescent="0.2"/>
    <row r="81" ht="15.75" customHeight="1" x14ac:dyDescent="0.2"/>
    <row r="82" ht="15.75" customHeight="1" x14ac:dyDescent="0.2"/>
    <row r="83" ht="15.75" customHeight="1" x14ac:dyDescent="0.2"/>
    <row r="84" ht="15.75" customHeight="1" x14ac:dyDescent="0.2"/>
    <row r="85" ht="15.75" customHeight="1" x14ac:dyDescent="0.2"/>
    <row r="86" ht="15.75" customHeight="1" x14ac:dyDescent="0.2"/>
    <row r="87" ht="15.75" customHeight="1" x14ac:dyDescent="0.2"/>
    <row r="88" ht="15.75" customHeight="1" x14ac:dyDescent="0.2"/>
    <row r="89" ht="15.75" customHeight="1" x14ac:dyDescent="0.2"/>
    <row r="90" ht="15.75" customHeight="1" x14ac:dyDescent="0.2"/>
    <row r="91" ht="15.75" customHeight="1" x14ac:dyDescent="0.2"/>
    <row r="92" ht="15.75" customHeight="1" x14ac:dyDescent="0.2"/>
    <row r="93" ht="15.75" customHeight="1" x14ac:dyDescent="0.2"/>
    <row r="94" ht="15.75" customHeight="1" x14ac:dyDescent="0.2"/>
    <row r="95" ht="15.75" customHeight="1" x14ac:dyDescent="0.2"/>
    <row r="96" ht="15.75" customHeight="1" x14ac:dyDescent="0.2"/>
    <row r="97" ht="15.75" customHeight="1" x14ac:dyDescent="0.2"/>
    <row r="98" ht="15.75" customHeight="1" x14ac:dyDescent="0.2"/>
    <row r="99" ht="15.75" customHeight="1" x14ac:dyDescent="0.2"/>
    <row r="100" ht="15.75" customHeight="1" x14ac:dyDescent="0.2"/>
    <row r="101" ht="15.75" customHeight="1" x14ac:dyDescent="0.2"/>
    <row r="102" ht="15.75" customHeight="1" x14ac:dyDescent="0.2"/>
    <row r="103" ht="15.75" customHeight="1" x14ac:dyDescent="0.2"/>
    <row r="104" ht="15.75" customHeight="1" x14ac:dyDescent="0.2"/>
    <row r="105" ht="15.75" customHeight="1" x14ac:dyDescent="0.2"/>
    <row r="106" ht="15.75" customHeight="1" x14ac:dyDescent="0.2"/>
    <row r="107" ht="15.75" customHeight="1" x14ac:dyDescent="0.2"/>
    <row r="108" ht="15.75" customHeight="1" x14ac:dyDescent="0.2"/>
    <row r="109" ht="15.75" customHeight="1" x14ac:dyDescent="0.2"/>
    <row r="110" ht="15.75" customHeight="1" x14ac:dyDescent="0.2"/>
    <row r="111" ht="15.75" customHeight="1" x14ac:dyDescent="0.2"/>
    <row r="112" ht="15.75" customHeight="1" x14ac:dyDescent="0.2"/>
    <row r="113" ht="15.75" customHeight="1" x14ac:dyDescent="0.2"/>
    <row r="114" ht="15.75" customHeight="1" x14ac:dyDescent="0.2"/>
    <row r="115" ht="15.75" customHeight="1" x14ac:dyDescent="0.2"/>
    <row r="116" ht="15.75" customHeight="1" x14ac:dyDescent="0.2"/>
    <row r="117" ht="15.75" customHeight="1" x14ac:dyDescent="0.2"/>
    <row r="118" ht="15.75" customHeight="1" x14ac:dyDescent="0.2"/>
    <row r="119" ht="15.75" customHeight="1" x14ac:dyDescent="0.2"/>
    <row r="120" ht="15.75" customHeight="1" x14ac:dyDescent="0.2"/>
    <row r="121" ht="15.75" customHeight="1" x14ac:dyDescent="0.2"/>
    <row r="122" ht="15.75" customHeight="1" x14ac:dyDescent="0.2"/>
    <row r="123" ht="15.75" customHeight="1" x14ac:dyDescent="0.2"/>
    <row r="124" ht="15.75" customHeight="1" x14ac:dyDescent="0.2"/>
    <row r="125" ht="15.75" customHeight="1" x14ac:dyDescent="0.2"/>
    <row r="126" ht="15.75" customHeight="1" x14ac:dyDescent="0.2"/>
    <row r="127" ht="15.75" customHeight="1" x14ac:dyDescent="0.2"/>
    <row r="128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  <row r="997" ht="15.75" customHeight="1" x14ac:dyDescent="0.2"/>
    <row r="998" ht="15.75" customHeight="1" x14ac:dyDescent="0.2"/>
    <row r="999" ht="15.75" customHeight="1" x14ac:dyDescent="0.2"/>
    <row r="1000" ht="15.75" customHeight="1" x14ac:dyDescent="0.2"/>
  </sheetData>
  <pageMargins left="0.7" right="0.7" top="0.75" bottom="0.75" header="0" footer="0"/>
  <pageSetup orientation="landscape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3:F1000"/>
  <sheetViews>
    <sheetView workbookViewId="0"/>
  </sheetViews>
  <sheetFormatPr defaultColWidth="12.625" defaultRowHeight="15" customHeight="1" x14ac:dyDescent="0.2"/>
  <cols>
    <col min="1" max="5" width="7.625" customWidth="1"/>
    <col min="6" max="6" width="8.75" customWidth="1"/>
    <col min="7" max="26" width="7.625" customWidth="1"/>
  </cols>
  <sheetData>
    <row r="3" spans="2:6" x14ac:dyDescent="0.25">
      <c r="C3" s="1" t="s">
        <v>0</v>
      </c>
      <c r="D3" s="1" t="s">
        <v>1</v>
      </c>
      <c r="E3" s="1" t="s">
        <v>2</v>
      </c>
      <c r="F3" s="2" t="s">
        <v>3</v>
      </c>
    </row>
    <row r="4" spans="2:6" x14ac:dyDescent="0.25">
      <c r="C4" s="1">
        <v>1.59</v>
      </c>
      <c r="D4" s="1">
        <v>5.73</v>
      </c>
      <c r="E4" s="1">
        <v>0.48</v>
      </c>
      <c r="F4" s="1">
        <v>5.28</v>
      </c>
    </row>
    <row r="6" spans="2:6" x14ac:dyDescent="0.25">
      <c r="C6" s="1" t="s">
        <v>4</v>
      </c>
      <c r="D6" s="1" t="s">
        <v>5</v>
      </c>
      <c r="E6" s="1" t="s">
        <v>6</v>
      </c>
    </row>
    <row r="7" spans="2:6" x14ac:dyDescent="0.25">
      <c r="C7" s="1">
        <v>0.1</v>
      </c>
      <c r="D7" s="1">
        <v>0</v>
      </c>
      <c r="E7" s="1">
        <v>0.1</v>
      </c>
    </row>
    <row r="9" spans="2:6" x14ac:dyDescent="0.25">
      <c r="B9" s="1" t="s">
        <v>7</v>
      </c>
      <c r="C9" s="1">
        <f>C4*C7+D4*D7+E4*E7</f>
        <v>0.20700000000000002</v>
      </c>
    </row>
    <row r="10" spans="2:6" x14ac:dyDescent="0.25">
      <c r="B10" s="1" t="s">
        <v>10</v>
      </c>
    </row>
    <row r="11" spans="2:6" x14ac:dyDescent="0.25">
      <c r="B11" s="1" t="s">
        <v>11</v>
      </c>
      <c r="C11" s="2">
        <f>EXP(-C9)</f>
        <v>0.81301964998757104</v>
      </c>
    </row>
    <row r="12" spans="2:6" x14ac:dyDescent="0.25">
      <c r="C12" s="2">
        <f>1+C11</f>
        <v>1.813019649987571</v>
      </c>
    </row>
    <row r="13" spans="2:6" x14ac:dyDescent="0.25">
      <c r="C13" s="2">
        <f>1/C12</f>
        <v>0.55156600206007445</v>
      </c>
    </row>
    <row r="14" spans="2:6" x14ac:dyDescent="0.25">
      <c r="C14" s="2">
        <f>C13*10</f>
        <v>5.5156600206007447</v>
      </c>
    </row>
    <row r="21" ht="15.75" customHeight="1" x14ac:dyDescent="0.2"/>
    <row r="22" ht="15.75" customHeight="1" x14ac:dyDescent="0.2"/>
    <row r="23" ht="15.75" customHeight="1" x14ac:dyDescent="0.2"/>
    <row r="24" ht="15.75" customHeight="1" x14ac:dyDescent="0.2"/>
    <row r="25" ht="15.75" customHeight="1" x14ac:dyDescent="0.2"/>
    <row r="26" ht="15.75" customHeight="1" x14ac:dyDescent="0.2"/>
    <row r="27" ht="15.75" customHeight="1" x14ac:dyDescent="0.2"/>
    <row r="28" ht="15.75" customHeight="1" x14ac:dyDescent="0.2"/>
    <row r="29" ht="15.75" customHeight="1" x14ac:dyDescent="0.2"/>
    <row r="30" ht="15.75" customHeight="1" x14ac:dyDescent="0.2"/>
    <row r="31" ht="15.75" customHeight="1" x14ac:dyDescent="0.2"/>
    <row r="32" ht="15.75" customHeight="1" x14ac:dyDescent="0.2"/>
    <row r="33" ht="15.75" customHeight="1" x14ac:dyDescent="0.2"/>
    <row r="34" ht="15.75" customHeight="1" x14ac:dyDescent="0.2"/>
    <row r="35" ht="15.75" customHeight="1" x14ac:dyDescent="0.2"/>
    <row r="36" ht="15.75" customHeight="1" x14ac:dyDescent="0.2"/>
    <row r="37" ht="15.75" customHeight="1" x14ac:dyDescent="0.2"/>
    <row r="38" ht="15.75" customHeight="1" x14ac:dyDescent="0.2"/>
    <row r="39" ht="15.75" customHeight="1" x14ac:dyDescent="0.2"/>
    <row r="40" ht="15.75" customHeight="1" x14ac:dyDescent="0.2"/>
    <row r="41" ht="15.75" customHeight="1" x14ac:dyDescent="0.2"/>
    <row r="42" ht="15.75" customHeight="1" x14ac:dyDescent="0.2"/>
    <row r="43" ht="15.75" customHeight="1" x14ac:dyDescent="0.2"/>
    <row r="44" ht="15.75" customHeight="1" x14ac:dyDescent="0.2"/>
    <row r="45" ht="15.75" customHeight="1" x14ac:dyDescent="0.2"/>
    <row r="46" ht="15.75" customHeight="1" x14ac:dyDescent="0.2"/>
    <row r="47" ht="15.75" customHeight="1" x14ac:dyDescent="0.2"/>
    <row r="48" ht="15.75" customHeight="1" x14ac:dyDescent="0.2"/>
    <row r="49" ht="15.75" customHeight="1" x14ac:dyDescent="0.2"/>
    <row r="50" ht="15.75" customHeight="1" x14ac:dyDescent="0.2"/>
    <row r="51" ht="15.75" customHeight="1" x14ac:dyDescent="0.2"/>
    <row r="52" ht="15.75" customHeight="1" x14ac:dyDescent="0.2"/>
    <row r="53" ht="15.75" customHeight="1" x14ac:dyDescent="0.2"/>
    <row r="54" ht="15.75" customHeight="1" x14ac:dyDescent="0.2"/>
    <row r="55" ht="15.75" customHeight="1" x14ac:dyDescent="0.2"/>
    <row r="56" ht="15.75" customHeight="1" x14ac:dyDescent="0.2"/>
    <row r="57" ht="15.75" customHeight="1" x14ac:dyDescent="0.2"/>
    <row r="58" ht="15.75" customHeight="1" x14ac:dyDescent="0.2"/>
    <row r="59" ht="15.75" customHeight="1" x14ac:dyDescent="0.2"/>
    <row r="60" ht="15.75" customHeight="1" x14ac:dyDescent="0.2"/>
    <row r="61" ht="15.75" customHeight="1" x14ac:dyDescent="0.2"/>
    <row r="62" ht="15.75" customHeight="1" x14ac:dyDescent="0.2"/>
    <row r="63" ht="15.75" customHeight="1" x14ac:dyDescent="0.2"/>
    <row r="64" ht="15.75" customHeight="1" x14ac:dyDescent="0.2"/>
    <row r="65" ht="15.75" customHeight="1" x14ac:dyDescent="0.2"/>
    <row r="66" ht="15.75" customHeight="1" x14ac:dyDescent="0.2"/>
    <row r="67" ht="15.75" customHeight="1" x14ac:dyDescent="0.2"/>
    <row r="68" ht="15.75" customHeight="1" x14ac:dyDescent="0.2"/>
    <row r="69" ht="15.75" customHeight="1" x14ac:dyDescent="0.2"/>
    <row r="70" ht="15.75" customHeight="1" x14ac:dyDescent="0.2"/>
    <row r="71" ht="15.75" customHeight="1" x14ac:dyDescent="0.2"/>
    <row r="72" ht="15.75" customHeight="1" x14ac:dyDescent="0.2"/>
    <row r="73" ht="15.75" customHeight="1" x14ac:dyDescent="0.2"/>
    <row r="74" ht="15.75" customHeight="1" x14ac:dyDescent="0.2"/>
    <row r="75" ht="15.75" customHeight="1" x14ac:dyDescent="0.2"/>
    <row r="76" ht="15.75" customHeight="1" x14ac:dyDescent="0.2"/>
    <row r="77" ht="15.75" customHeight="1" x14ac:dyDescent="0.2"/>
    <row r="78" ht="15.75" customHeight="1" x14ac:dyDescent="0.2"/>
    <row r="79" ht="15.75" customHeight="1" x14ac:dyDescent="0.2"/>
    <row r="80" ht="15.75" customHeight="1" x14ac:dyDescent="0.2"/>
    <row r="81" ht="15.75" customHeight="1" x14ac:dyDescent="0.2"/>
    <row r="82" ht="15.75" customHeight="1" x14ac:dyDescent="0.2"/>
    <row r="83" ht="15.75" customHeight="1" x14ac:dyDescent="0.2"/>
    <row r="84" ht="15.75" customHeight="1" x14ac:dyDescent="0.2"/>
    <row r="85" ht="15.75" customHeight="1" x14ac:dyDescent="0.2"/>
    <row r="86" ht="15.75" customHeight="1" x14ac:dyDescent="0.2"/>
    <row r="87" ht="15.75" customHeight="1" x14ac:dyDescent="0.2"/>
    <row r="88" ht="15.75" customHeight="1" x14ac:dyDescent="0.2"/>
    <row r="89" ht="15.75" customHeight="1" x14ac:dyDescent="0.2"/>
    <row r="90" ht="15.75" customHeight="1" x14ac:dyDescent="0.2"/>
    <row r="91" ht="15.75" customHeight="1" x14ac:dyDescent="0.2"/>
    <row r="92" ht="15.75" customHeight="1" x14ac:dyDescent="0.2"/>
    <row r="93" ht="15.75" customHeight="1" x14ac:dyDescent="0.2"/>
    <row r="94" ht="15.75" customHeight="1" x14ac:dyDescent="0.2"/>
    <row r="95" ht="15.75" customHeight="1" x14ac:dyDescent="0.2"/>
    <row r="96" ht="15.75" customHeight="1" x14ac:dyDescent="0.2"/>
    <row r="97" ht="15.75" customHeight="1" x14ac:dyDescent="0.2"/>
    <row r="98" ht="15.75" customHeight="1" x14ac:dyDescent="0.2"/>
    <row r="99" ht="15.75" customHeight="1" x14ac:dyDescent="0.2"/>
    <row r="100" ht="15.75" customHeight="1" x14ac:dyDescent="0.2"/>
    <row r="101" ht="15.75" customHeight="1" x14ac:dyDescent="0.2"/>
    <row r="102" ht="15.75" customHeight="1" x14ac:dyDescent="0.2"/>
    <row r="103" ht="15.75" customHeight="1" x14ac:dyDescent="0.2"/>
    <row r="104" ht="15.75" customHeight="1" x14ac:dyDescent="0.2"/>
    <row r="105" ht="15.75" customHeight="1" x14ac:dyDescent="0.2"/>
    <row r="106" ht="15.75" customHeight="1" x14ac:dyDescent="0.2"/>
    <row r="107" ht="15.75" customHeight="1" x14ac:dyDescent="0.2"/>
    <row r="108" ht="15.75" customHeight="1" x14ac:dyDescent="0.2"/>
    <row r="109" ht="15.75" customHeight="1" x14ac:dyDescent="0.2"/>
    <row r="110" ht="15.75" customHeight="1" x14ac:dyDescent="0.2"/>
    <row r="111" ht="15.75" customHeight="1" x14ac:dyDescent="0.2"/>
    <row r="112" ht="15.75" customHeight="1" x14ac:dyDescent="0.2"/>
    <row r="113" ht="15.75" customHeight="1" x14ac:dyDescent="0.2"/>
    <row r="114" ht="15.75" customHeight="1" x14ac:dyDescent="0.2"/>
    <row r="115" ht="15.75" customHeight="1" x14ac:dyDescent="0.2"/>
    <row r="116" ht="15.75" customHeight="1" x14ac:dyDescent="0.2"/>
    <row r="117" ht="15.75" customHeight="1" x14ac:dyDescent="0.2"/>
    <row r="118" ht="15.75" customHeight="1" x14ac:dyDescent="0.2"/>
    <row r="119" ht="15.75" customHeight="1" x14ac:dyDescent="0.2"/>
    <row r="120" ht="15.75" customHeight="1" x14ac:dyDescent="0.2"/>
    <row r="121" ht="15.75" customHeight="1" x14ac:dyDescent="0.2"/>
    <row r="122" ht="15.75" customHeight="1" x14ac:dyDescent="0.2"/>
    <row r="123" ht="15.75" customHeight="1" x14ac:dyDescent="0.2"/>
    <row r="124" ht="15.75" customHeight="1" x14ac:dyDescent="0.2"/>
    <row r="125" ht="15.75" customHeight="1" x14ac:dyDescent="0.2"/>
    <row r="126" ht="15.75" customHeight="1" x14ac:dyDescent="0.2"/>
    <row r="127" ht="15.75" customHeight="1" x14ac:dyDescent="0.2"/>
    <row r="128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  <row r="997" ht="15.75" customHeight="1" x14ac:dyDescent="0.2"/>
    <row r="998" ht="15.75" customHeight="1" x14ac:dyDescent="0.2"/>
    <row r="999" ht="15.75" customHeight="1" x14ac:dyDescent="0.2"/>
    <row r="1000" ht="15.75" customHeight="1" x14ac:dyDescent="0.2"/>
  </sheetData>
  <pageMargins left="0.7" right="0.7" top="0.75" bottom="0.75" header="0" footer="0"/>
  <pageSetup orientation="landscape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Лабораторна робота №3</vt:lpstr>
      <vt:lpstr>Модель</vt:lpstr>
      <vt:lpstr>Лист3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Антон</dc:creator>
  <cp:lastModifiedBy>RePack by Diakov</cp:lastModifiedBy>
  <dcterms:created xsi:type="dcterms:W3CDTF">2018-12-21T12:40:28Z</dcterms:created>
  <dcterms:modified xsi:type="dcterms:W3CDTF">2021-09-23T21:23:42Z</dcterms:modified>
</cp:coreProperties>
</file>